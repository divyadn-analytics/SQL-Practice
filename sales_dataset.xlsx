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daad326413ac04c/Desktop/"/>
    </mc:Choice>
  </mc:AlternateContent>
  <xr:revisionPtr revIDLastSave="87" documentId="11_BA11C73BACCB100B037F265E3AAF9CE07D74C839" xr6:coauthVersionLast="47" xr6:coauthVersionMax="47" xr10:uidLastSave="{06BFA51B-788A-486F-BEEF-6148FDB467BA}"/>
  <bookViews>
    <workbookView xWindow="-110" yWindow="-110" windowWidth="25820" windowHeight="15500" activeTab="1" xr2:uid="{00000000-000D-0000-FFFF-FFFF00000000}"/>
  </bookViews>
  <sheets>
    <sheet name="Sales" sheetId="1" r:id="rId1"/>
    <sheet name="pivot table_HW" sheetId="19" r:id="rId2"/>
    <sheet name="Products" sheetId="2" r:id="rId3"/>
    <sheet name="Targets" sheetId="3" r:id="rId4"/>
    <sheet name="Charts" sheetId="4" r:id="rId5"/>
    <sheet name="Analysis" sheetId="5" r:id="rId6"/>
    <sheet name="Logical" sheetId="6" r:id="rId7"/>
    <sheet name="LogicDemo" sheetId="7" r:id="rId8"/>
    <sheet name="Lookup" sheetId="8" r:id="rId9"/>
    <sheet name="LookupDemo" sheetId="9" r:id="rId10"/>
    <sheet name="DateTime" sheetId="10" r:id="rId11"/>
    <sheet name="DateTimeDemo" sheetId="11" r:id="rId12"/>
    <sheet name="Text" sheetId="12" r:id="rId13"/>
    <sheet name="TextDemo" sheetId="13" r:id="rId14"/>
    <sheet name="SalespersonTargets" sheetId="14" r:id="rId15"/>
    <sheet name="SalespersonTargetRegion" sheetId="15" r:id="rId16"/>
    <sheet name="SalespersonRevenuePivot" sheetId="16" r:id="rId17"/>
    <sheet name="ProductUnitsPivot" sheetId="17" r:id="rId18"/>
  </sheets>
  <definedNames>
    <definedName name="_xlnm._FilterDatabase" localSheetId="11" hidden="1">DateTimeDemo!$A$1:$M$121</definedName>
    <definedName name="_xlnm._FilterDatabase" localSheetId="7" hidden="1">LogicDemo!$A$1:$L$121</definedName>
    <definedName name="_xlnm._FilterDatabase" localSheetId="9" hidden="1">LookupDemo!$A$1:$G$121</definedName>
    <definedName name="_xlnm._FilterDatabase" localSheetId="2" hidden="1">Products!$A$1:$D$10</definedName>
    <definedName name="_xlnm._FilterDatabase" localSheetId="17" hidden="1">ProductUnitsPivot!$A$2:$B$11</definedName>
    <definedName name="_xlnm._FilterDatabase" localSheetId="0" hidden="1">Sales!$A$1:$P$121</definedName>
    <definedName name="_xlnm._FilterDatabase" localSheetId="16" hidden="1">SalespersonRevenuePivot!$A$2:$C$10</definedName>
    <definedName name="_xlnm._FilterDatabase" localSheetId="15" hidden="1">SalespersonTargetRegion!$A$1:$C$9</definedName>
    <definedName name="_xlnm._FilterDatabase" localSheetId="14" hidden="1">SalespersonTargets!$A$1:$B$9</definedName>
    <definedName name="_xlnm._FilterDatabase" localSheetId="3" hidden="1">Targets!$A$1:$C$9</definedName>
    <definedName name="_xlnm._FilterDatabase" localSheetId="13" hidden="1">TextDemo!$A$1:$O$121</definedName>
  </definedNames>
  <calcPr calcId="191029"/>
  <pivotCaches>
    <pivotCache cacheId="25" r:id="rId19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7" l="1"/>
  <c r="B10" i="17"/>
  <c r="B9" i="17"/>
  <c r="B8" i="17"/>
  <c r="B7" i="17"/>
  <c r="B6" i="17"/>
  <c r="B5" i="17"/>
  <c r="B4" i="17"/>
  <c r="B3" i="17"/>
  <c r="C10" i="16"/>
  <c r="B10" i="16"/>
  <c r="C9" i="16"/>
  <c r="B9" i="16"/>
  <c r="C8" i="16"/>
  <c r="B8" i="16"/>
  <c r="C7" i="16"/>
  <c r="B7" i="16"/>
  <c r="C6" i="16"/>
  <c r="B6" i="16"/>
  <c r="C5" i="16"/>
  <c r="B5" i="16"/>
  <c r="C4" i="16"/>
  <c r="B4" i="16"/>
  <c r="C3" i="16"/>
  <c r="B3" i="16"/>
  <c r="C9" i="15"/>
  <c r="B9" i="15"/>
  <c r="A9" i="15"/>
  <c r="A8" i="15"/>
  <c r="B8" i="15" s="1"/>
  <c r="B7" i="15"/>
  <c r="A7" i="15"/>
  <c r="C7" i="15" s="1"/>
  <c r="A6" i="15"/>
  <c r="C5" i="15"/>
  <c r="B5" i="15"/>
  <c r="A5" i="15"/>
  <c r="A4" i="15"/>
  <c r="C4" i="15" s="1"/>
  <c r="A3" i="15"/>
  <c r="C3" i="15" s="1"/>
  <c r="A2" i="15"/>
  <c r="B2" i="15" s="1"/>
  <c r="A9" i="14"/>
  <c r="B9" i="14" s="1"/>
  <c r="A8" i="14"/>
  <c r="B8" i="14" s="1"/>
  <c r="A7" i="14"/>
  <c r="B7" i="14" s="1"/>
  <c r="A6" i="14"/>
  <c r="B6" i="14" s="1"/>
  <c r="A5" i="14"/>
  <c r="B5" i="14" s="1"/>
  <c r="A4" i="14"/>
  <c r="B4" i="14" s="1"/>
  <c r="A3" i="14"/>
  <c r="B3" i="14" s="1"/>
  <c r="A2" i="14"/>
  <c r="B2" i="14" s="1"/>
  <c r="O121" i="13"/>
  <c r="N121" i="13"/>
  <c r="E121" i="13"/>
  <c r="D121" i="13"/>
  <c r="C121" i="13"/>
  <c r="K121" i="13" s="1"/>
  <c r="B121" i="13"/>
  <c r="F121" i="13" s="1"/>
  <c r="A121" i="13"/>
  <c r="E120" i="13"/>
  <c r="D120" i="13"/>
  <c r="N120" i="13" s="1"/>
  <c r="C120" i="13"/>
  <c r="B120" i="13"/>
  <c r="F120" i="13" s="1"/>
  <c r="A120" i="13"/>
  <c r="I119" i="13"/>
  <c r="H119" i="13"/>
  <c r="E119" i="13"/>
  <c r="D119" i="13"/>
  <c r="C119" i="13"/>
  <c r="B119" i="13"/>
  <c r="A119" i="13"/>
  <c r="L118" i="13"/>
  <c r="E118" i="13"/>
  <c r="D118" i="13"/>
  <c r="C118" i="13"/>
  <c r="K118" i="13" s="1"/>
  <c r="B118" i="13"/>
  <c r="A118" i="13"/>
  <c r="O117" i="13"/>
  <c r="M117" i="13"/>
  <c r="L117" i="13"/>
  <c r="H117" i="13"/>
  <c r="G117" i="13"/>
  <c r="E117" i="13"/>
  <c r="D117" i="13"/>
  <c r="N117" i="13" s="1"/>
  <c r="C117" i="13"/>
  <c r="K117" i="13" s="1"/>
  <c r="B117" i="13"/>
  <c r="F117" i="13" s="1"/>
  <c r="A117" i="13"/>
  <c r="E116" i="13"/>
  <c r="D116" i="13"/>
  <c r="C116" i="13"/>
  <c r="B116" i="13"/>
  <c r="A116" i="13"/>
  <c r="N115" i="13"/>
  <c r="M115" i="13"/>
  <c r="L115" i="13"/>
  <c r="K115" i="13"/>
  <c r="E115" i="13"/>
  <c r="D115" i="13"/>
  <c r="C115" i="13"/>
  <c r="B115" i="13"/>
  <c r="A115" i="13"/>
  <c r="J114" i="13"/>
  <c r="H114" i="13"/>
  <c r="G114" i="13"/>
  <c r="E114" i="13"/>
  <c r="D114" i="13"/>
  <c r="C114" i="13"/>
  <c r="L114" i="13" s="1"/>
  <c r="B114" i="13"/>
  <c r="F114" i="13" s="1"/>
  <c r="A114" i="13"/>
  <c r="E113" i="13"/>
  <c r="D113" i="13"/>
  <c r="N113" i="13" s="1"/>
  <c r="C113" i="13"/>
  <c r="B113" i="13"/>
  <c r="G113" i="13" s="1"/>
  <c r="A113" i="13"/>
  <c r="M112" i="13"/>
  <c r="J112" i="13"/>
  <c r="I112" i="13"/>
  <c r="E112" i="13"/>
  <c r="D112" i="13"/>
  <c r="C112" i="13"/>
  <c r="B112" i="13"/>
  <c r="A112" i="13"/>
  <c r="O112" i="13" s="1"/>
  <c r="J111" i="13"/>
  <c r="I111" i="13"/>
  <c r="E111" i="13"/>
  <c r="D111" i="13"/>
  <c r="N111" i="13" s="1"/>
  <c r="C111" i="13"/>
  <c r="B111" i="13"/>
  <c r="A111" i="13"/>
  <c r="O111" i="13" s="1"/>
  <c r="G110" i="13"/>
  <c r="F110" i="13"/>
  <c r="E110" i="13"/>
  <c r="D110" i="13"/>
  <c r="C110" i="13"/>
  <c r="B110" i="13"/>
  <c r="H110" i="13" s="1"/>
  <c r="A110" i="13"/>
  <c r="O109" i="13"/>
  <c r="J109" i="13"/>
  <c r="G109" i="13"/>
  <c r="F109" i="13"/>
  <c r="E109" i="13"/>
  <c r="D109" i="13"/>
  <c r="C109" i="13"/>
  <c r="B109" i="13"/>
  <c r="H109" i="13" s="1"/>
  <c r="A109" i="13"/>
  <c r="I109" i="13" s="1"/>
  <c r="N108" i="13"/>
  <c r="J108" i="13"/>
  <c r="G108" i="13"/>
  <c r="F108" i="13"/>
  <c r="E108" i="13"/>
  <c r="D108" i="13"/>
  <c r="C108" i="13"/>
  <c r="B108" i="13"/>
  <c r="H108" i="13" s="1"/>
  <c r="A108" i="13"/>
  <c r="N107" i="13"/>
  <c r="E107" i="13"/>
  <c r="D107" i="13"/>
  <c r="M107" i="13" s="1"/>
  <c r="C107" i="13"/>
  <c r="B107" i="13"/>
  <c r="A107" i="13"/>
  <c r="K106" i="13"/>
  <c r="I106" i="13"/>
  <c r="E106" i="13"/>
  <c r="D106" i="13"/>
  <c r="N106" i="13" s="1"/>
  <c r="C106" i="13"/>
  <c r="L106" i="13" s="1"/>
  <c r="B106" i="13"/>
  <c r="A106" i="13"/>
  <c r="E105" i="13"/>
  <c r="D105" i="13"/>
  <c r="C105" i="13"/>
  <c r="B105" i="13"/>
  <c r="A105" i="13"/>
  <c r="E104" i="13"/>
  <c r="N104" i="13" s="1"/>
  <c r="D104" i="13"/>
  <c r="C104" i="13"/>
  <c r="B104" i="13"/>
  <c r="A104" i="13"/>
  <c r="O104" i="13" s="1"/>
  <c r="O103" i="13"/>
  <c r="N103" i="13"/>
  <c r="E103" i="13"/>
  <c r="D103" i="13"/>
  <c r="C103" i="13"/>
  <c r="B103" i="13"/>
  <c r="F103" i="13" s="1"/>
  <c r="A103" i="13"/>
  <c r="O102" i="13"/>
  <c r="I102" i="13"/>
  <c r="E102" i="13"/>
  <c r="D102" i="13"/>
  <c r="C102" i="13"/>
  <c r="L102" i="13" s="1"/>
  <c r="B102" i="13"/>
  <c r="A102" i="13"/>
  <c r="J102" i="13" s="1"/>
  <c r="O101" i="13"/>
  <c r="J101" i="13"/>
  <c r="H101" i="13"/>
  <c r="E101" i="13"/>
  <c r="D101" i="13"/>
  <c r="C101" i="13"/>
  <c r="B101" i="13"/>
  <c r="A101" i="13"/>
  <c r="I101" i="13" s="1"/>
  <c r="I100" i="13"/>
  <c r="F100" i="13"/>
  <c r="E100" i="13"/>
  <c r="D100" i="13"/>
  <c r="C100" i="13"/>
  <c r="B100" i="13"/>
  <c r="A100" i="13"/>
  <c r="L99" i="13"/>
  <c r="K99" i="13"/>
  <c r="J99" i="13"/>
  <c r="E99" i="13"/>
  <c r="D99" i="13"/>
  <c r="C99" i="13"/>
  <c r="B99" i="13"/>
  <c r="A99" i="13"/>
  <c r="K98" i="13"/>
  <c r="H98" i="13"/>
  <c r="G98" i="13"/>
  <c r="E98" i="13"/>
  <c r="D98" i="13"/>
  <c r="C98" i="13"/>
  <c r="L98" i="13" s="1"/>
  <c r="B98" i="13"/>
  <c r="F98" i="13" s="1"/>
  <c r="A98" i="13"/>
  <c r="O98" i="13" s="1"/>
  <c r="E97" i="13"/>
  <c r="D97" i="13"/>
  <c r="C97" i="13"/>
  <c r="K97" i="13" s="1"/>
  <c r="B97" i="13"/>
  <c r="A97" i="13"/>
  <c r="O96" i="13"/>
  <c r="N96" i="13"/>
  <c r="J96" i="13"/>
  <c r="I96" i="13"/>
  <c r="H96" i="13"/>
  <c r="F96" i="13"/>
  <c r="E96" i="13"/>
  <c r="D96" i="13"/>
  <c r="C96" i="13"/>
  <c r="B96" i="13"/>
  <c r="A96" i="13"/>
  <c r="E95" i="13"/>
  <c r="D95" i="13"/>
  <c r="C95" i="13"/>
  <c r="B95" i="13"/>
  <c r="A95" i="13"/>
  <c r="L94" i="13"/>
  <c r="K94" i="13"/>
  <c r="G94" i="13"/>
  <c r="E94" i="13"/>
  <c r="D94" i="13"/>
  <c r="C94" i="13"/>
  <c r="B94" i="13"/>
  <c r="F94" i="13" s="1"/>
  <c r="A94" i="13"/>
  <c r="O93" i="13"/>
  <c r="J93" i="13"/>
  <c r="I93" i="13"/>
  <c r="H93" i="13"/>
  <c r="G93" i="13"/>
  <c r="F93" i="13"/>
  <c r="E93" i="13"/>
  <c r="D93" i="13"/>
  <c r="C93" i="13"/>
  <c r="B93" i="13"/>
  <c r="A93" i="13"/>
  <c r="E92" i="13"/>
  <c r="D92" i="13"/>
  <c r="C92" i="13"/>
  <c r="B92" i="13"/>
  <c r="F92" i="13" s="1"/>
  <c r="A92" i="13"/>
  <c r="I92" i="13" s="1"/>
  <c r="E91" i="13"/>
  <c r="D91" i="13"/>
  <c r="C91" i="13"/>
  <c r="K91" i="13" s="1"/>
  <c r="B91" i="13"/>
  <c r="A91" i="13"/>
  <c r="I91" i="13" s="1"/>
  <c r="I90" i="13"/>
  <c r="G90" i="13"/>
  <c r="E90" i="13"/>
  <c r="D90" i="13"/>
  <c r="C90" i="13"/>
  <c r="B90" i="13"/>
  <c r="F90" i="13" s="1"/>
  <c r="A90" i="13"/>
  <c r="H89" i="13"/>
  <c r="G89" i="13"/>
  <c r="F89" i="13"/>
  <c r="E89" i="13"/>
  <c r="D89" i="13"/>
  <c r="C89" i="13"/>
  <c r="B89" i="13"/>
  <c r="A89" i="13"/>
  <c r="M88" i="13"/>
  <c r="E88" i="13"/>
  <c r="D88" i="13"/>
  <c r="C88" i="13"/>
  <c r="B88" i="13"/>
  <c r="A88" i="13"/>
  <c r="I88" i="13" s="1"/>
  <c r="E87" i="13"/>
  <c r="D87" i="13"/>
  <c r="C87" i="13"/>
  <c r="B87" i="13"/>
  <c r="A87" i="13"/>
  <c r="G86" i="13"/>
  <c r="E86" i="13"/>
  <c r="D86" i="13"/>
  <c r="C86" i="13"/>
  <c r="B86" i="13"/>
  <c r="A86" i="13"/>
  <c r="N85" i="13"/>
  <c r="M85" i="13"/>
  <c r="L85" i="13"/>
  <c r="K85" i="13"/>
  <c r="J85" i="13"/>
  <c r="E85" i="13"/>
  <c r="D85" i="13"/>
  <c r="C85" i="13"/>
  <c r="B85" i="13"/>
  <c r="A85" i="13"/>
  <c r="N84" i="13"/>
  <c r="M84" i="13"/>
  <c r="J84" i="13"/>
  <c r="I84" i="13"/>
  <c r="G84" i="13"/>
  <c r="F84" i="13"/>
  <c r="E84" i="13"/>
  <c r="D84" i="13"/>
  <c r="C84" i="13"/>
  <c r="B84" i="13"/>
  <c r="H84" i="13" s="1"/>
  <c r="A84" i="13"/>
  <c r="O84" i="13" s="1"/>
  <c r="J83" i="13"/>
  <c r="I83" i="13"/>
  <c r="H83" i="13"/>
  <c r="F83" i="13"/>
  <c r="E83" i="13"/>
  <c r="D83" i="13"/>
  <c r="C83" i="13"/>
  <c r="B83" i="13"/>
  <c r="G83" i="13" s="1"/>
  <c r="A83" i="13"/>
  <c r="O83" i="13" s="1"/>
  <c r="K82" i="13"/>
  <c r="E82" i="13"/>
  <c r="D82" i="13"/>
  <c r="C82" i="13"/>
  <c r="L82" i="13" s="1"/>
  <c r="B82" i="13"/>
  <c r="A82" i="13"/>
  <c r="I82" i="13" s="1"/>
  <c r="O81" i="13"/>
  <c r="J81" i="13"/>
  <c r="I81" i="13"/>
  <c r="E81" i="13"/>
  <c r="D81" i="13"/>
  <c r="C81" i="13"/>
  <c r="B81" i="13"/>
  <c r="A81" i="13"/>
  <c r="E80" i="13"/>
  <c r="D80" i="13"/>
  <c r="C80" i="13"/>
  <c r="B80" i="13"/>
  <c r="A80" i="13"/>
  <c r="M79" i="13"/>
  <c r="L79" i="13"/>
  <c r="K79" i="13"/>
  <c r="J79" i="13"/>
  <c r="H79" i="13"/>
  <c r="E79" i="13"/>
  <c r="D79" i="13"/>
  <c r="N79" i="13" s="1"/>
  <c r="C79" i="13"/>
  <c r="B79" i="13"/>
  <c r="A79" i="13"/>
  <c r="E78" i="13"/>
  <c r="D78" i="13"/>
  <c r="C78" i="13"/>
  <c r="B78" i="13"/>
  <c r="H78" i="13" s="1"/>
  <c r="A78" i="13"/>
  <c r="O77" i="13"/>
  <c r="E77" i="13"/>
  <c r="D77" i="13"/>
  <c r="C77" i="13"/>
  <c r="B77" i="13"/>
  <c r="A77" i="13"/>
  <c r="I77" i="13" s="1"/>
  <c r="O76" i="13"/>
  <c r="N76" i="13"/>
  <c r="K76" i="13"/>
  <c r="J76" i="13"/>
  <c r="I76" i="13"/>
  <c r="G76" i="13"/>
  <c r="F76" i="13"/>
  <c r="E76" i="13"/>
  <c r="D76" i="13"/>
  <c r="C76" i="13"/>
  <c r="L76" i="13" s="1"/>
  <c r="B76" i="13"/>
  <c r="H76" i="13" s="1"/>
  <c r="A76" i="13"/>
  <c r="F75" i="13"/>
  <c r="E75" i="13"/>
  <c r="D75" i="13"/>
  <c r="C75" i="13"/>
  <c r="B75" i="13"/>
  <c r="A75" i="13"/>
  <c r="L74" i="13"/>
  <c r="E74" i="13"/>
  <c r="D74" i="13"/>
  <c r="C74" i="13"/>
  <c r="K74" i="13" s="1"/>
  <c r="B74" i="13"/>
  <c r="A74" i="13"/>
  <c r="E73" i="13"/>
  <c r="D73" i="13"/>
  <c r="N73" i="13" s="1"/>
  <c r="C73" i="13"/>
  <c r="L73" i="13" s="1"/>
  <c r="B73" i="13"/>
  <c r="A73" i="13"/>
  <c r="J73" i="13" s="1"/>
  <c r="K72" i="13"/>
  <c r="J72" i="13"/>
  <c r="E72" i="13"/>
  <c r="D72" i="13"/>
  <c r="C72" i="13"/>
  <c r="L72" i="13" s="1"/>
  <c r="B72" i="13"/>
  <c r="A72" i="13"/>
  <c r="L71" i="13"/>
  <c r="E71" i="13"/>
  <c r="D71" i="13"/>
  <c r="N71" i="13" s="1"/>
  <c r="C71" i="13"/>
  <c r="K71" i="13" s="1"/>
  <c r="B71" i="13"/>
  <c r="G71" i="13" s="1"/>
  <c r="A71" i="13"/>
  <c r="K70" i="13"/>
  <c r="I70" i="13"/>
  <c r="G70" i="13"/>
  <c r="E70" i="13"/>
  <c r="D70" i="13"/>
  <c r="C70" i="13"/>
  <c r="L70" i="13" s="1"/>
  <c r="B70" i="13"/>
  <c r="A70" i="13"/>
  <c r="E69" i="13"/>
  <c r="D69" i="13"/>
  <c r="N69" i="13" s="1"/>
  <c r="C69" i="13"/>
  <c r="B69" i="13"/>
  <c r="A69" i="13"/>
  <c r="O69" i="13" s="1"/>
  <c r="E68" i="13"/>
  <c r="D68" i="13"/>
  <c r="N68" i="13" s="1"/>
  <c r="C68" i="13"/>
  <c r="B68" i="13"/>
  <c r="A68" i="13"/>
  <c r="O68" i="13" s="1"/>
  <c r="N67" i="13"/>
  <c r="M67" i="13"/>
  <c r="L67" i="13"/>
  <c r="K67" i="13"/>
  <c r="E67" i="13"/>
  <c r="D67" i="13"/>
  <c r="C67" i="13"/>
  <c r="B67" i="13"/>
  <c r="A67" i="13"/>
  <c r="O66" i="13"/>
  <c r="N66" i="13"/>
  <c r="M66" i="13"/>
  <c r="L66" i="13"/>
  <c r="K66" i="13"/>
  <c r="J66" i="13"/>
  <c r="I66" i="13"/>
  <c r="H66" i="13"/>
  <c r="G66" i="13"/>
  <c r="E66" i="13"/>
  <c r="D66" i="13"/>
  <c r="C66" i="13"/>
  <c r="B66" i="13"/>
  <c r="F66" i="13" s="1"/>
  <c r="A66" i="13"/>
  <c r="O65" i="13"/>
  <c r="M65" i="13"/>
  <c r="L65" i="13"/>
  <c r="K65" i="13"/>
  <c r="J65" i="13"/>
  <c r="I65" i="13"/>
  <c r="H65" i="13"/>
  <c r="G65" i="13"/>
  <c r="F65" i="13"/>
  <c r="E65" i="13"/>
  <c r="N65" i="13" s="1"/>
  <c r="D65" i="13"/>
  <c r="C65" i="13"/>
  <c r="B65" i="13"/>
  <c r="A65" i="13"/>
  <c r="K64" i="13"/>
  <c r="J64" i="13"/>
  <c r="I64" i="13"/>
  <c r="H64" i="13"/>
  <c r="G64" i="13"/>
  <c r="F64" i="13"/>
  <c r="E64" i="13"/>
  <c r="N64" i="13" s="1"/>
  <c r="D64" i="13"/>
  <c r="C64" i="13"/>
  <c r="L64" i="13" s="1"/>
  <c r="B64" i="13"/>
  <c r="M64" i="13" s="1"/>
  <c r="A64" i="13"/>
  <c r="O64" i="13" s="1"/>
  <c r="L63" i="13"/>
  <c r="E63" i="13"/>
  <c r="D63" i="13"/>
  <c r="C63" i="13"/>
  <c r="K63" i="13" s="1"/>
  <c r="B63" i="13"/>
  <c r="A63" i="13"/>
  <c r="H62" i="13"/>
  <c r="G62" i="13"/>
  <c r="F62" i="13"/>
  <c r="E62" i="13"/>
  <c r="D62" i="13"/>
  <c r="C62" i="13"/>
  <c r="B62" i="13"/>
  <c r="A62" i="13"/>
  <c r="I61" i="13"/>
  <c r="E61" i="13"/>
  <c r="D61" i="13"/>
  <c r="C61" i="13"/>
  <c r="B61" i="13"/>
  <c r="A61" i="13"/>
  <c r="E60" i="13"/>
  <c r="D60" i="13"/>
  <c r="C60" i="13"/>
  <c r="B60" i="13"/>
  <c r="H60" i="13" s="1"/>
  <c r="A60" i="13"/>
  <c r="E59" i="13"/>
  <c r="D59" i="13"/>
  <c r="C59" i="13"/>
  <c r="B59" i="13"/>
  <c r="H59" i="13" s="1"/>
  <c r="A59" i="13"/>
  <c r="O58" i="13"/>
  <c r="M58" i="13"/>
  <c r="L58" i="13"/>
  <c r="I58" i="13"/>
  <c r="E58" i="13"/>
  <c r="D58" i="13"/>
  <c r="N58" i="13" s="1"/>
  <c r="C58" i="13"/>
  <c r="K58" i="13" s="1"/>
  <c r="B58" i="13"/>
  <c r="A58" i="13"/>
  <c r="J58" i="13" s="1"/>
  <c r="E57" i="13"/>
  <c r="D57" i="13"/>
  <c r="C57" i="13"/>
  <c r="B57" i="13"/>
  <c r="A57" i="13"/>
  <c r="E56" i="13"/>
  <c r="D56" i="13"/>
  <c r="N56" i="13" s="1"/>
  <c r="C56" i="13"/>
  <c r="B56" i="13"/>
  <c r="A56" i="13"/>
  <c r="E55" i="13"/>
  <c r="D55" i="13"/>
  <c r="C55" i="13"/>
  <c r="B55" i="13"/>
  <c r="A55" i="13"/>
  <c r="O55" i="13" s="1"/>
  <c r="O54" i="13"/>
  <c r="L54" i="13"/>
  <c r="I54" i="13"/>
  <c r="E54" i="13"/>
  <c r="D54" i="13"/>
  <c r="C54" i="13"/>
  <c r="K54" i="13" s="1"/>
  <c r="B54" i="13"/>
  <c r="A54" i="13"/>
  <c r="J54" i="13" s="1"/>
  <c r="L53" i="13"/>
  <c r="E53" i="13"/>
  <c r="D53" i="13"/>
  <c r="N53" i="13" s="1"/>
  <c r="C53" i="13"/>
  <c r="K53" i="13" s="1"/>
  <c r="B53" i="13"/>
  <c r="F53" i="13" s="1"/>
  <c r="A53" i="13"/>
  <c r="O52" i="13"/>
  <c r="J52" i="13"/>
  <c r="I52" i="13"/>
  <c r="G52" i="13"/>
  <c r="F52" i="13"/>
  <c r="E52" i="13"/>
  <c r="D52" i="13"/>
  <c r="C52" i="13"/>
  <c r="B52" i="13"/>
  <c r="H52" i="13" s="1"/>
  <c r="A52" i="13"/>
  <c r="L51" i="13"/>
  <c r="E51" i="13"/>
  <c r="D51" i="13"/>
  <c r="N51" i="13" s="1"/>
  <c r="C51" i="13"/>
  <c r="K51" i="13" s="1"/>
  <c r="B51" i="13"/>
  <c r="A51" i="13"/>
  <c r="O50" i="13"/>
  <c r="M50" i="13"/>
  <c r="J50" i="13"/>
  <c r="I50" i="13"/>
  <c r="H50" i="13"/>
  <c r="G50" i="13"/>
  <c r="E50" i="13"/>
  <c r="N50" i="13" s="1"/>
  <c r="D50" i="13"/>
  <c r="C50" i="13"/>
  <c r="B50" i="13"/>
  <c r="F50" i="13" s="1"/>
  <c r="A50" i="13"/>
  <c r="E49" i="13"/>
  <c r="D49" i="13"/>
  <c r="C49" i="13"/>
  <c r="B49" i="13"/>
  <c r="A49" i="13"/>
  <c r="N48" i="13"/>
  <c r="E48" i="13"/>
  <c r="D48" i="13"/>
  <c r="C48" i="13"/>
  <c r="K48" i="13" s="1"/>
  <c r="B48" i="13"/>
  <c r="A48" i="13"/>
  <c r="J48" i="13" s="1"/>
  <c r="E47" i="13"/>
  <c r="D47" i="13"/>
  <c r="C47" i="13"/>
  <c r="B47" i="13"/>
  <c r="G47" i="13" s="1"/>
  <c r="A47" i="13"/>
  <c r="I47" i="13" s="1"/>
  <c r="E46" i="13"/>
  <c r="D46" i="13"/>
  <c r="C46" i="13"/>
  <c r="B46" i="13"/>
  <c r="A46" i="13"/>
  <c r="O45" i="13"/>
  <c r="L45" i="13"/>
  <c r="K45" i="13"/>
  <c r="J45" i="13"/>
  <c r="I45" i="13"/>
  <c r="H45" i="13"/>
  <c r="F45" i="13"/>
  <c r="E45" i="13"/>
  <c r="N45" i="13" s="1"/>
  <c r="D45" i="13"/>
  <c r="C45" i="13"/>
  <c r="B45" i="13"/>
  <c r="G45" i="13" s="1"/>
  <c r="A45" i="13"/>
  <c r="O44" i="13"/>
  <c r="J44" i="13"/>
  <c r="I44" i="13"/>
  <c r="E44" i="13"/>
  <c r="D44" i="13"/>
  <c r="C44" i="13"/>
  <c r="B44" i="13"/>
  <c r="A44" i="13"/>
  <c r="I43" i="13"/>
  <c r="E43" i="13"/>
  <c r="D43" i="13"/>
  <c r="C43" i="13"/>
  <c r="B43" i="13"/>
  <c r="F43" i="13" s="1"/>
  <c r="A43" i="13"/>
  <c r="O42" i="13"/>
  <c r="I42" i="13"/>
  <c r="E42" i="13"/>
  <c r="D42" i="13"/>
  <c r="C42" i="13"/>
  <c r="B42" i="13"/>
  <c r="A42" i="13"/>
  <c r="J42" i="13" s="1"/>
  <c r="L41" i="13"/>
  <c r="J41" i="13"/>
  <c r="G41" i="13"/>
  <c r="F41" i="13"/>
  <c r="E41" i="13"/>
  <c r="D41" i="13"/>
  <c r="C41" i="13"/>
  <c r="K41" i="13" s="1"/>
  <c r="B41" i="13"/>
  <c r="H41" i="13" s="1"/>
  <c r="A41" i="13"/>
  <c r="G40" i="13"/>
  <c r="E40" i="13"/>
  <c r="D40" i="13"/>
  <c r="C40" i="13"/>
  <c r="B40" i="13"/>
  <c r="A40" i="13"/>
  <c r="N39" i="13"/>
  <c r="J39" i="13"/>
  <c r="H39" i="13"/>
  <c r="F39" i="13"/>
  <c r="E39" i="13"/>
  <c r="D39" i="13"/>
  <c r="M39" i="13" s="1"/>
  <c r="C39" i="13"/>
  <c r="K39" i="13" s="1"/>
  <c r="B39" i="13"/>
  <c r="G39" i="13" s="1"/>
  <c r="A39" i="13"/>
  <c r="L38" i="13"/>
  <c r="E38" i="13"/>
  <c r="D38" i="13"/>
  <c r="N38" i="13" s="1"/>
  <c r="C38" i="13"/>
  <c r="K38" i="13" s="1"/>
  <c r="B38" i="13"/>
  <c r="M38" i="13" s="1"/>
  <c r="A38" i="13"/>
  <c r="O37" i="13"/>
  <c r="E37" i="13"/>
  <c r="D37" i="13"/>
  <c r="C37" i="13"/>
  <c r="K37" i="13" s="1"/>
  <c r="B37" i="13"/>
  <c r="A37" i="13"/>
  <c r="I37" i="13" s="1"/>
  <c r="E36" i="13"/>
  <c r="D36" i="13"/>
  <c r="C36" i="13"/>
  <c r="B36" i="13"/>
  <c r="F36" i="13" s="1"/>
  <c r="A36" i="13"/>
  <c r="O35" i="13"/>
  <c r="M35" i="13"/>
  <c r="L35" i="13"/>
  <c r="K35" i="13"/>
  <c r="E35" i="13"/>
  <c r="D35" i="13"/>
  <c r="C35" i="13"/>
  <c r="B35" i="13"/>
  <c r="G35" i="13" s="1"/>
  <c r="A35" i="13"/>
  <c r="E34" i="13"/>
  <c r="D34" i="13"/>
  <c r="C34" i="13"/>
  <c r="B34" i="13"/>
  <c r="A34" i="13"/>
  <c r="O33" i="13"/>
  <c r="N33" i="13"/>
  <c r="E33" i="13"/>
  <c r="D33" i="13"/>
  <c r="M33" i="13" s="1"/>
  <c r="C33" i="13"/>
  <c r="L33" i="13" s="1"/>
  <c r="B33" i="13"/>
  <c r="A33" i="13"/>
  <c r="J32" i="13"/>
  <c r="E32" i="13"/>
  <c r="D32" i="13"/>
  <c r="C32" i="13"/>
  <c r="B32" i="13"/>
  <c r="A32" i="13"/>
  <c r="E31" i="13"/>
  <c r="D31" i="13"/>
  <c r="N31" i="13" s="1"/>
  <c r="C31" i="13"/>
  <c r="B31" i="13"/>
  <c r="A31" i="13"/>
  <c r="L30" i="13"/>
  <c r="K30" i="13"/>
  <c r="J30" i="13"/>
  <c r="H30" i="13"/>
  <c r="G30" i="13"/>
  <c r="F30" i="13"/>
  <c r="E30" i="13"/>
  <c r="D30" i="13"/>
  <c r="C30" i="13"/>
  <c r="B30" i="13"/>
  <c r="A30" i="13"/>
  <c r="I29" i="13"/>
  <c r="E29" i="13"/>
  <c r="D29" i="13"/>
  <c r="C29" i="13"/>
  <c r="B29" i="13"/>
  <c r="A29" i="13"/>
  <c r="O28" i="13"/>
  <c r="E28" i="13"/>
  <c r="D28" i="13"/>
  <c r="N28" i="13" s="1"/>
  <c r="C28" i="13"/>
  <c r="B28" i="13"/>
  <c r="A28" i="13"/>
  <c r="M27" i="13"/>
  <c r="L27" i="13"/>
  <c r="K27" i="13"/>
  <c r="J27" i="13"/>
  <c r="I27" i="13"/>
  <c r="G27" i="13"/>
  <c r="E27" i="13"/>
  <c r="N27" i="13" s="1"/>
  <c r="D27" i="13"/>
  <c r="C27" i="13"/>
  <c r="B27" i="13"/>
  <c r="A27" i="13"/>
  <c r="O27" i="13" s="1"/>
  <c r="E26" i="13"/>
  <c r="D26" i="13"/>
  <c r="C26" i="13"/>
  <c r="L26" i="13" s="1"/>
  <c r="B26" i="13"/>
  <c r="H26" i="13" s="1"/>
  <c r="A26" i="13"/>
  <c r="O25" i="13"/>
  <c r="E25" i="13"/>
  <c r="D25" i="13"/>
  <c r="C25" i="13"/>
  <c r="B25" i="13"/>
  <c r="F25" i="13" s="1"/>
  <c r="A25" i="13"/>
  <c r="J24" i="13"/>
  <c r="H24" i="13"/>
  <c r="E24" i="13"/>
  <c r="D24" i="13"/>
  <c r="C24" i="13"/>
  <c r="L24" i="13" s="1"/>
  <c r="B24" i="13"/>
  <c r="A24" i="13"/>
  <c r="E23" i="13"/>
  <c r="D23" i="13"/>
  <c r="C23" i="13"/>
  <c r="B23" i="13"/>
  <c r="F23" i="13" s="1"/>
  <c r="A23" i="13"/>
  <c r="K22" i="13"/>
  <c r="H22" i="13"/>
  <c r="G22" i="13"/>
  <c r="F22" i="13"/>
  <c r="E22" i="13"/>
  <c r="D22" i="13"/>
  <c r="C22" i="13"/>
  <c r="L22" i="13" s="1"/>
  <c r="B22" i="13"/>
  <c r="A22" i="13"/>
  <c r="E21" i="13"/>
  <c r="D21" i="13"/>
  <c r="N21" i="13" s="1"/>
  <c r="C21" i="13"/>
  <c r="B21" i="13"/>
  <c r="A21" i="13"/>
  <c r="O21" i="13" s="1"/>
  <c r="O20" i="13"/>
  <c r="L20" i="13"/>
  <c r="K20" i="13"/>
  <c r="F20" i="13"/>
  <c r="E20" i="13"/>
  <c r="D20" i="13"/>
  <c r="C20" i="13"/>
  <c r="B20" i="13"/>
  <c r="A20" i="13"/>
  <c r="J20" i="13" s="1"/>
  <c r="O19" i="13"/>
  <c r="E19" i="13"/>
  <c r="D19" i="13"/>
  <c r="N19" i="13" s="1"/>
  <c r="C19" i="13"/>
  <c r="B19" i="13"/>
  <c r="A19" i="13"/>
  <c r="L18" i="13"/>
  <c r="E18" i="13"/>
  <c r="D18" i="13"/>
  <c r="C18" i="13"/>
  <c r="K18" i="13" s="1"/>
  <c r="B18" i="13"/>
  <c r="G18" i="13" s="1"/>
  <c r="A18" i="13"/>
  <c r="J17" i="13"/>
  <c r="H17" i="13"/>
  <c r="G17" i="13"/>
  <c r="F17" i="13"/>
  <c r="E17" i="13"/>
  <c r="D17" i="13"/>
  <c r="C17" i="13"/>
  <c r="B17" i="13"/>
  <c r="A17" i="13"/>
  <c r="I16" i="13"/>
  <c r="E16" i="13"/>
  <c r="D16" i="13"/>
  <c r="N16" i="13" s="1"/>
  <c r="C16" i="13"/>
  <c r="B16" i="13"/>
  <c r="H16" i="13" s="1"/>
  <c r="A16" i="13"/>
  <c r="O15" i="13"/>
  <c r="M15" i="13"/>
  <c r="G15" i="13"/>
  <c r="F15" i="13"/>
  <c r="E15" i="13"/>
  <c r="D15" i="13"/>
  <c r="C15" i="13"/>
  <c r="B15" i="13"/>
  <c r="H15" i="13" s="1"/>
  <c r="A15" i="13"/>
  <c r="H14" i="13"/>
  <c r="G14" i="13"/>
  <c r="F14" i="13"/>
  <c r="E14" i="13"/>
  <c r="D14" i="13"/>
  <c r="C14" i="13"/>
  <c r="B14" i="13"/>
  <c r="A14" i="13"/>
  <c r="G13" i="13"/>
  <c r="F13" i="13"/>
  <c r="E13" i="13"/>
  <c r="D13" i="13"/>
  <c r="C13" i="13"/>
  <c r="B13" i="13"/>
  <c r="H13" i="13" s="1"/>
  <c r="A13" i="13"/>
  <c r="N12" i="13"/>
  <c r="E12" i="13"/>
  <c r="D12" i="13"/>
  <c r="C12" i="13"/>
  <c r="B12" i="13"/>
  <c r="A12" i="13"/>
  <c r="J11" i="13"/>
  <c r="E11" i="13"/>
  <c r="D11" i="13"/>
  <c r="C11" i="13"/>
  <c r="B11" i="13"/>
  <c r="F11" i="13" s="1"/>
  <c r="A11" i="13"/>
  <c r="E10" i="13"/>
  <c r="D10" i="13"/>
  <c r="C10" i="13"/>
  <c r="B10" i="13"/>
  <c r="H10" i="13" s="1"/>
  <c r="A10" i="13"/>
  <c r="J10" i="13" s="1"/>
  <c r="O9" i="13"/>
  <c r="N9" i="13"/>
  <c r="K9" i="13"/>
  <c r="J9" i="13"/>
  <c r="I9" i="13"/>
  <c r="F9" i="13"/>
  <c r="E9" i="13"/>
  <c r="D9" i="13"/>
  <c r="C9" i="13"/>
  <c r="L9" i="13" s="1"/>
  <c r="B9" i="13"/>
  <c r="A9" i="13"/>
  <c r="E8" i="13"/>
  <c r="D8" i="13"/>
  <c r="N8" i="13" s="1"/>
  <c r="C8" i="13"/>
  <c r="B8" i="13"/>
  <c r="A8" i="13"/>
  <c r="O7" i="13"/>
  <c r="M7" i="13"/>
  <c r="E7" i="13"/>
  <c r="D7" i="13"/>
  <c r="C7" i="13"/>
  <c r="K7" i="13" s="1"/>
  <c r="B7" i="13"/>
  <c r="A7" i="13"/>
  <c r="J7" i="13" s="1"/>
  <c r="O6" i="13"/>
  <c r="K6" i="13"/>
  <c r="I6" i="13"/>
  <c r="H6" i="13"/>
  <c r="G6" i="13"/>
  <c r="F6" i="13"/>
  <c r="E6" i="13"/>
  <c r="D6" i="13"/>
  <c r="C6" i="13"/>
  <c r="L6" i="13" s="1"/>
  <c r="B6" i="13"/>
  <c r="A6" i="13"/>
  <c r="J6" i="13" s="1"/>
  <c r="E5" i="13"/>
  <c r="D5" i="13"/>
  <c r="C5" i="13"/>
  <c r="B5" i="13"/>
  <c r="A5" i="13"/>
  <c r="I4" i="13"/>
  <c r="E4" i="13"/>
  <c r="D4" i="13"/>
  <c r="C4" i="13"/>
  <c r="B4" i="13"/>
  <c r="F4" i="13" s="1"/>
  <c r="A4" i="13"/>
  <c r="E3" i="13"/>
  <c r="D3" i="13"/>
  <c r="C3" i="13"/>
  <c r="B3" i="13"/>
  <c r="H3" i="13" s="1"/>
  <c r="A3" i="13"/>
  <c r="O2" i="13"/>
  <c r="M2" i="13"/>
  <c r="L2" i="13"/>
  <c r="K2" i="13"/>
  <c r="G2" i="13"/>
  <c r="E2" i="13"/>
  <c r="N2" i="13" s="1"/>
  <c r="D2" i="13"/>
  <c r="C2" i="13"/>
  <c r="B2" i="13"/>
  <c r="A2" i="13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I121" i="11"/>
  <c r="H121" i="11"/>
  <c r="B121" i="11"/>
  <c r="L121" i="11" s="1"/>
  <c r="A121" i="11"/>
  <c r="M120" i="11"/>
  <c r="L120" i="11"/>
  <c r="K120" i="11"/>
  <c r="F120" i="11"/>
  <c r="E120" i="11"/>
  <c r="D120" i="11"/>
  <c r="C120" i="11"/>
  <c r="B120" i="11"/>
  <c r="A120" i="11"/>
  <c r="B119" i="11"/>
  <c r="A119" i="11"/>
  <c r="C118" i="11"/>
  <c r="B118" i="11"/>
  <c r="A118" i="11"/>
  <c r="I117" i="11"/>
  <c r="H117" i="11"/>
  <c r="C117" i="11"/>
  <c r="B117" i="11"/>
  <c r="J117" i="11" s="1"/>
  <c r="A117" i="11"/>
  <c r="K116" i="11"/>
  <c r="F116" i="11"/>
  <c r="B116" i="11"/>
  <c r="C116" i="11" s="1"/>
  <c r="A116" i="11"/>
  <c r="B115" i="11"/>
  <c r="K115" i="11" s="1"/>
  <c r="A115" i="11"/>
  <c r="B114" i="11"/>
  <c r="K114" i="11" s="1"/>
  <c r="A114" i="11"/>
  <c r="M113" i="11"/>
  <c r="B113" i="11"/>
  <c r="A113" i="11"/>
  <c r="I112" i="11"/>
  <c r="E112" i="11"/>
  <c r="B112" i="11"/>
  <c r="J112" i="11" s="1"/>
  <c r="A112" i="11"/>
  <c r="I111" i="11"/>
  <c r="G111" i="11"/>
  <c r="F111" i="11"/>
  <c r="E111" i="11"/>
  <c r="B111" i="11"/>
  <c r="D111" i="11" s="1"/>
  <c r="A111" i="11"/>
  <c r="M110" i="11"/>
  <c r="L110" i="11"/>
  <c r="B110" i="11"/>
  <c r="A110" i="11"/>
  <c r="J109" i="11"/>
  <c r="I109" i="11"/>
  <c r="B109" i="11"/>
  <c r="A109" i="11"/>
  <c r="J108" i="11"/>
  <c r="F108" i="11"/>
  <c r="E108" i="11"/>
  <c r="B108" i="11"/>
  <c r="C108" i="11" s="1"/>
  <c r="A108" i="11"/>
  <c r="M107" i="11"/>
  <c r="L107" i="11"/>
  <c r="B107" i="11"/>
  <c r="A107" i="11"/>
  <c r="M106" i="11"/>
  <c r="L106" i="11"/>
  <c r="K106" i="11"/>
  <c r="J106" i="11"/>
  <c r="I106" i="11"/>
  <c r="H106" i="11"/>
  <c r="G106" i="11"/>
  <c r="F106" i="11"/>
  <c r="E106" i="11"/>
  <c r="D106" i="11"/>
  <c r="B106" i="11"/>
  <c r="C106" i="11" s="1"/>
  <c r="A106" i="11"/>
  <c r="B105" i="11"/>
  <c r="D105" i="11" s="1"/>
  <c r="A105" i="11"/>
  <c r="F104" i="11"/>
  <c r="B104" i="11"/>
  <c r="D104" i="11" s="1"/>
  <c r="A104" i="11"/>
  <c r="M103" i="11"/>
  <c r="L103" i="11"/>
  <c r="K103" i="11"/>
  <c r="J103" i="11"/>
  <c r="B103" i="11"/>
  <c r="H103" i="11" s="1"/>
  <c r="A103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F101" i="11"/>
  <c r="E101" i="11"/>
  <c r="B101" i="11"/>
  <c r="C101" i="11" s="1"/>
  <c r="A101" i="11"/>
  <c r="B100" i="11"/>
  <c r="D100" i="11" s="1"/>
  <c r="A100" i="11"/>
  <c r="B99" i="11"/>
  <c r="M99" i="11" s="1"/>
  <c r="A99" i="11"/>
  <c r="B98" i="11"/>
  <c r="A98" i="11"/>
  <c r="B97" i="11"/>
  <c r="D97" i="11" s="1"/>
  <c r="A97" i="11"/>
  <c r="I96" i="11"/>
  <c r="H96" i="11"/>
  <c r="D96" i="11"/>
  <c r="B96" i="11"/>
  <c r="A96" i="11"/>
  <c r="B95" i="11"/>
  <c r="A95" i="11"/>
  <c r="B94" i="11"/>
  <c r="G94" i="11" s="1"/>
  <c r="A94" i="11"/>
  <c r="M93" i="11"/>
  <c r="L93" i="11"/>
  <c r="K93" i="11"/>
  <c r="J93" i="11"/>
  <c r="E93" i="11"/>
  <c r="D93" i="11"/>
  <c r="C93" i="11"/>
  <c r="B93" i="11"/>
  <c r="A93" i="11"/>
  <c r="B92" i="11"/>
  <c r="A92" i="11"/>
  <c r="L91" i="11"/>
  <c r="K91" i="11"/>
  <c r="J91" i="11"/>
  <c r="H91" i="11"/>
  <c r="G91" i="11"/>
  <c r="F91" i="11"/>
  <c r="E91" i="11"/>
  <c r="D91" i="11"/>
  <c r="B91" i="11"/>
  <c r="A91" i="11"/>
  <c r="B90" i="11"/>
  <c r="A90" i="11"/>
  <c r="B89" i="11"/>
  <c r="A89" i="11"/>
  <c r="M88" i="11"/>
  <c r="L88" i="11"/>
  <c r="K88" i="11"/>
  <c r="J88" i="11"/>
  <c r="B88" i="11"/>
  <c r="A88" i="11"/>
  <c r="B87" i="11"/>
  <c r="F87" i="11" s="1"/>
  <c r="A87" i="11"/>
  <c r="I86" i="11"/>
  <c r="H86" i="11"/>
  <c r="B86" i="11"/>
  <c r="A86" i="11"/>
  <c r="M85" i="11"/>
  <c r="L85" i="11"/>
  <c r="G85" i="11"/>
  <c r="F85" i="11"/>
  <c r="B85" i="11"/>
  <c r="K85" i="11" s="1"/>
  <c r="A85" i="11"/>
  <c r="I84" i="11"/>
  <c r="H84" i="11"/>
  <c r="B84" i="11"/>
  <c r="F84" i="11" s="1"/>
  <c r="A84" i="11"/>
  <c r="B83" i="11"/>
  <c r="L83" i="11" s="1"/>
  <c r="A83" i="11"/>
  <c r="M82" i="11"/>
  <c r="L82" i="11"/>
  <c r="B82" i="11"/>
  <c r="C82" i="11" s="1"/>
  <c r="A82" i="11"/>
  <c r="B81" i="11"/>
  <c r="G81" i="11" s="1"/>
  <c r="A81" i="11"/>
  <c r="M80" i="11"/>
  <c r="L80" i="11"/>
  <c r="K80" i="11"/>
  <c r="J80" i="11"/>
  <c r="D80" i="11"/>
  <c r="C80" i="11"/>
  <c r="B80" i="11"/>
  <c r="A80" i="11"/>
  <c r="B79" i="11"/>
  <c r="A79" i="11"/>
  <c r="B78" i="11"/>
  <c r="C78" i="11" s="1"/>
  <c r="A78" i="11"/>
  <c r="M77" i="11"/>
  <c r="B77" i="11"/>
  <c r="A77" i="11"/>
  <c r="K76" i="11"/>
  <c r="J76" i="11"/>
  <c r="B76" i="11"/>
  <c r="C76" i="11" s="1"/>
  <c r="A76" i="11"/>
  <c r="M75" i="11"/>
  <c r="K75" i="11"/>
  <c r="B75" i="11"/>
  <c r="E75" i="11" s="1"/>
  <c r="A75" i="11"/>
  <c r="B74" i="11"/>
  <c r="J74" i="11" s="1"/>
  <c r="A74" i="11"/>
  <c r="B73" i="11"/>
  <c r="A73" i="11"/>
  <c r="M72" i="11"/>
  <c r="B72" i="11"/>
  <c r="A72" i="11"/>
  <c r="I71" i="11"/>
  <c r="B71" i="11"/>
  <c r="A71" i="11"/>
  <c r="M70" i="11"/>
  <c r="L70" i="11"/>
  <c r="K70" i="11"/>
  <c r="J70" i="11"/>
  <c r="I70" i="11"/>
  <c r="H70" i="11"/>
  <c r="G70" i="11"/>
  <c r="F70" i="11"/>
  <c r="E70" i="11"/>
  <c r="B70" i="11"/>
  <c r="D70" i="11" s="1"/>
  <c r="A70" i="11"/>
  <c r="B69" i="11"/>
  <c r="F69" i="11" s="1"/>
  <c r="A69" i="11"/>
  <c r="M68" i="11"/>
  <c r="K68" i="11"/>
  <c r="J68" i="11"/>
  <c r="I68" i="11"/>
  <c r="H68" i="11"/>
  <c r="G68" i="11"/>
  <c r="F68" i="11"/>
  <c r="D68" i="11"/>
  <c r="B68" i="11"/>
  <c r="C68" i="11" s="1"/>
  <c r="A68" i="11"/>
  <c r="B67" i="11"/>
  <c r="G67" i="11" s="1"/>
  <c r="A67" i="11"/>
  <c r="M66" i="11"/>
  <c r="L66" i="11"/>
  <c r="K66" i="11"/>
  <c r="J66" i="11"/>
  <c r="I66" i="11"/>
  <c r="H66" i="11"/>
  <c r="C66" i="11"/>
  <c r="B66" i="11"/>
  <c r="A66" i="11"/>
  <c r="B65" i="11"/>
  <c r="A65" i="11"/>
  <c r="B64" i="11"/>
  <c r="A64" i="11"/>
  <c r="I63" i="11"/>
  <c r="E63" i="11"/>
  <c r="D63" i="11"/>
  <c r="B63" i="11"/>
  <c r="A63" i="11"/>
  <c r="G62" i="11"/>
  <c r="F62" i="11"/>
  <c r="B62" i="11"/>
  <c r="A62" i="11"/>
  <c r="B61" i="11"/>
  <c r="L61" i="11" s="1"/>
  <c r="A61" i="11"/>
  <c r="B60" i="11"/>
  <c r="L60" i="11" s="1"/>
  <c r="A60" i="11"/>
  <c r="I59" i="11"/>
  <c r="G59" i="11"/>
  <c r="B59" i="11"/>
  <c r="A59" i="11"/>
  <c r="K58" i="11"/>
  <c r="J58" i="11"/>
  <c r="I58" i="11"/>
  <c r="E58" i="11"/>
  <c r="C58" i="11"/>
  <c r="B58" i="11"/>
  <c r="A58" i="11"/>
  <c r="H57" i="11"/>
  <c r="G57" i="11"/>
  <c r="F57" i="11"/>
  <c r="E57" i="11"/>
  <c r="D57" i="11"/>
  <c r="B57" i="11"/>
  <c r="L57" i="11" s="1"/>
  <c r="A57" i="11"/>
  <c r="B56" i="11"/>
  <c r="A56" i="11"/>
  <c r="B55" i="11"/>
  <c r="K55" i="11" s="1"/>
  <c r="A55" i="11"/>
  <c r="M54" i="11"/>
  <c r="L54" i="11"/>
  <c r="K54" i="11"/>
  <c r="J54" i="11"/>
  <c r="I54" i="11"/>
  <c r="H54" i="11"/>
  <c r="G54" i="11"/>
  <c r="F54" i="11"/>
  <c r="E54" i="11"/>
  <c r="D54" i="11"/>
  <c r="B54" i="11"/>
  <c r="C54" i="11" s="1"/>
  <c r="A54" i="11"/>
  <c r="B53" i="11"/>
  <c r="C53" i="11" s="1"/>
  <c r="A53" i="11"/>
  <c r="M52" i="11"/>
  <c r="I52" i="11"/>
  <c r="E52" i="11"/>
  <c r="D52" i="11"/>
  <c r="B52" i="11"/>
  <c r="H52" i="11" s="1"/>
  <c r="A52" i="11"/>
  <c r="K51" i="11"/>
  <c r="B51" i="11"/>
  <c r="A51" i="11"/>
  <c r="M50" i="11"/>
  <c r="L50" i="11"/>
  <c r="K50" i="11"/>
  <c r="J50" i="11"/>
  <c r="I50" i="11"/>
  <c r="H50" i="11"/>
  <c r="G50" i="11"/>
  <c r="E50" i="11"/>
  <c r="D50" i="11"/>
  <c r="C50" i="11"/>
  <c r="B50" i="11"/>
  <c r="F50" i="11" s="1"/>
  <c r="A50" i="11"/>
  <c r="L49" i="11"/>
  <c r="I49" i="11"/>
  <c r="B49" i="11"/>
  <c r="A49" i="11"/>
  <c r="B48" i="11"/>
  <c r="A48" i="11"/>
  <c r="L47" i="11"/>
  <c r="E47" i="11"/>
  <c r="B47" i="11"/>
  <c r="A47" i="11"/>
  <c r="B46" i="11"/>
  <c r="M46" i="11" s="1"/>
  <c r="A46" i="11"/>
  <c r="B45" i="11"/>
  <c r="C45" i="11" s="1"/>
  <c r="A45" i="11"/>
  <c r="B44" i="11"/>
  <c r="M44" i="11" s="1"/>
  <c r="A44" i="11"/>
  <c r="M43" i="11"/>
  <c r="I43" i="11"/>
  <c r="G43" i="11"/>
  <c r="B43" i="11"/>
  <c r="A43" i="11"/>
  <c r="C42" i="11"/>
  <c r="B42" i="11"/>
  <c r="A42" i="11"/>
  <c r="L41" i="11"/>
  <c r="I41" i="11"/>
  <c r="H41" i="11"/>
  <c r="B41" i="11"/>
  <c r="F41" i="11" s="1"/>
  <c r="A41" i="11"/>
  <c r="B40" i="11"/>
  <c r="A40" i="11"/>
  <c r="M39" i="11"/>
  <c r="I39" i="11"/>
  <c r="D39" i="11"/>
  <c r="C39" i="11"/>
  <c r="B39" i="11"/>
  <c r="A39" i="11"/>
  <c r="M38" i="11"/>
  <c r="L38" i="11"/>
  <c r="K38" i="11"/>
  <c r="J38" i="11"/>
  <c r="I38" i="11"/>
  <c r="H38" i="11"/>
  <c r="E38" i="11"/>
  <c r="D38" i="11"/>
  <c r="C38" i="11"/>
  <c r="B38" i="11"/>
  <c r="A38" i="11"/>
  <c r="B37" i="11"/>
  <c r="C37" i="11" s="1"/>
  <c r="A37" i="11"/>
  <c r="B36" i="11"/>
  <c r="I36" i="11" s="1"/>
  <c r="A36" i="11"/>
  <c r="M35" i="11"/>
  <c r="L35" i="11"/>
  <c r="B35" i="11"/>
  <c r="F35" i="11" s="1"/>
  <c r="A35" i="11"/>
  <c r="B34" i="11"/>
  <c r="D34" i="11" s="1"/>
  <c r="A34" i="11"/>
  <c r="B33" i="11"/>
  <c r="M33" i="11" s="1"/>
  <c r="A33" i="11"/>
  <c r="B32" i="11"/>
  <c r="F32" i="11" s="1"/>
  <c r="A32" i="11"/>
  <c r="B31" i="11"/>
  <c r="I31" i="11" s="1"/>
  <c r="A31" i="11"/>
  <c r="B30" i="11"/>
  <c r="A30" i="11"/>
  <c r="B29" i="11"/>
  <c r="L29" i="11" s="1"/>
  <c r="A29" i="11"/>
  <c r="B28" i="11"/>
  <c r="A28" i="11"/>
  <c r="D27" i="11"/>
  <c r="B27" i="11"/>
  <c r="A27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B25" i="11"/>
  <c r="A25" i="11"/>
  <c r="B24" i="11"/>
  <c r="A24" i="11"/>
  <c r="L23" i="11"/>
  <c r="F23" i="11"/>
  <c r="D23" i="11"/>
  <c r="C23" i="11"/>
  <c r="B23" i="11"/>
  <c r="A23" i="11"/>
  <c r="K22" i="11"/>
  <c r="J22" i="11"/>
  <c r="I22" i="11"/>
  <c r="E22" i="11"/>
  <c r="D22" i="11"/>
  <c r="B22" i="11"/>
  <c r="A22" i="11"/>
  <c r="B21" i="11"/>
  <c r="D21" i="11" s="1"/>
  <c r="A21" i="11"/>
  <c r="K20" i="11"/>
  <c r="B20" i="11"/>
  <c r="G20" i="11" s="1"/>
  <c r="A20" i="11"/>
  <c r="J19" i="11"/>
  <c r="G19" i="11"/>
  <c r="F19" i="11"/>
  <c r="B19" i="11"/>
  <c r="E19" i="11" s="1"/>
  <c r="A19" i="11"/>
  <c r="B18" i="11"/>
  <c r="A18" i="11"/>
  <c r="L17" i="11"/>
  <c r="K17" i="11"/>
  <c r="J17" i="11"/>
  <c r="I17" i="11"/>
  <c r="B17" i="11"/>
  <c r="A17" i="11"/>
  <c r="B16" i="11"/>
  <c r="C16" i="11" s="1"/>
  <c r="A16" i="11"/>
  <c r="B15" i="11"/>
  <c r="E15" i="11" s="1"/>
  <c r="A15" i="11"/>
  <c r="B14" i="11"/>
  <c r="H14" i="11" s="1"/>
  <c r="A14" i="11"/>
  <c r="L13" i="11"/>
  <c r="K13" i="11"/>
  <c r="J13" i="11"/>
  <c r="I13" i="11"/>
  <c r="H13" i="11"/>
  <c r="B13" i="11"/>
  <c r="C13" i="11" s="1"/>
  <c r="A13" i="11"/>
  <c r="B12" i="11"/>
  <c r="A12" i="11"/>
  <c r="E11" i="11"/>
  <c r="B11" i="11"/>
  <c r="A11" i="11"/>
  <c r="M10" i="11"/>
  <c r="L10" i="11"/>
  <c r="K10" i="11"/>
  <c r="J10" i="11"/>
  <c r="I10" i="11"/>
  <c r="H10" i="11"/>
  <c r="E10" i="11"/>
  <c r="D10" i="11"/>
  <c r="B10" i="11"/>
  <c r="A10" i="11"/>
  <c r="M9" i="11"/>
  <c r="L9" i="11"/>
  <c r="J9" i="11"/>
  <c r="I9" i="11"/>
  <c r="H9" i="11"/>
  <c r="G9" i="11"/>
  <c r="F9" i="11"/>
  <c r="B9" i="11"/>
  <c r="K9" i="11" s="1"/>
  <c r="A9" i="11"/>
  <c r="M8" i="11"/>
  <c r="B8" i="11"/>
  <c r="C8" i="11" s="1"/>
  <c r="A8" i="11"/>
  <c r="J7" i="11"/>
  <c r="F7" i="11"/>
  <c r="D7" i="11"/>
  <c r="B7" i="11"/>
  <c r="M7" i="11" s="1"/>
  <c r="A7" i="11"/>
  <c r="B6" i="11"/>
  <c r="J6" i="11" s="1"/>
  <c r="A6" i="11"/>
  <c r="M5" i="11"/>
  <c r="G5" i="11"/>
  <c r="F5" i="11"/>
  <c r="C5" i="11"/>
  <c r="B5" i="11"/>
  <c r="A5" i="11"/>
  <c r="B4" i="11"/>
  <c r="A4" i="11"/>
  <c r="L3" i="11"/>
  <c r="K3" i="11"/>
  <c r="J3" i="11"/>
  <c r="H3" i="11"/>
  <c r="B3" i="11"/>
  <c r="A3" i="11"/>
  <c r="B2" i="11"/>
  <c r="C2" i="11" s="1"/>
  <c r="A2" i="11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D121" i="9"/>
  <c r="E121" i="9" s="1"/>
  <c r="B121" i="9"/>
  <c r="C121" i="9" s="1"/>
  <c r="A121" i="9"/>
  <c r="D120" i="9"/>
  <c r="E120" i="9" s="1"/>
  <c r="B120" i="9"/>
  <c r="C120" i="9" s="1"/>
  <c r="A120" i="9"/>
  <c r="D119" i="9"/>
  <c r="E119" i="9" s="1"/>
  <c r="B119" i="9"/>
  <c r="C119" i="9" s="1"/>
  <c r="A119" i="9"/>
  <c r="D118" i="9"/>
  <c r="E118" i="9" s="1"/>
  <c r="B118" i="9"/>
  <c r="C118" i="9" s="1"/>
  <c r="A118" i="9"/>
  <c r="D117" i="9"/>
  <c r="E117" i="9" s="1"/>
  <c r="B117" i="9"/>
  <c r="C117" i="9" s="1"/>
  <c r="A117" i="9"/>
  <c r="E116" i="9"/>
  <c r="D116" i="9"/>
  <c r="B116" i="9"/>
  <c r="C116" i="9" s="1"/>
  <c r="A116" i="9"/>
  <c r="D115" i="9"/>
  <c r="E115" i="9" s="1"/>
  <c r="B115" i="9"/>
  <c r="C115" i="9" s="1"/>
  <c r="A115" i="9"/>
  <c r="D114" i="9"/>
  <c r="E114" i="9" s="1"/>
  <c r="B114" i="9"/>
  <c r="C114" i="9" s="1"/>
  <c r="A114" i="9"/>
  <c r="D113" i="9"/>
  <c r="E113" i="9" s="1"/>
  <c r="B113" i="9"/>
  <c r="C113" i="9" s="1"/>
  <c r="A113" i="9"/>
  <c r="D112" i="9"/>
  <c r="E112" i="9" s="1"/>
  <c r="B112" i="9"/>
  <c r="C112" i="9" s="1"/>
  <c r="A112" i="9"/>
  <c r="D111" i="9"/>
  <c r="E111" i="9" s="1"/>
  <c r="B111" i="9"/>
  <c r="C111" i="9" s="1"/>
  <c r="A111" i="9"/>
  <c r="D110" i="9"/>
  <c r="E110" i="9" s="1"/>
  <c r="B110" i="9"/>
  <c r="C110" i="9" s="1"/>
  <c r="A110" i="9"/>
  <c r="D109" i="9"/>
  <c r="E109" i="9" s="1"/>
  <c r="B109" i="9"/>
  <c r="C109" i="9" s="1"/>
  <c r="A109" i="9"/>
  <c r="D108" i="9"/>
  <c r="E108" i="9" s="1"/>
  <c r="B108" i="9"/>
  <c r="C108" i="9" s="1"/>
  <c r="A108" i="9"/>
  <c r="D107" i="9"/>
  <c r="E107" i="9" s="1"/>
  <c r="B107" i="9"/>
  <c r="C107" i="9" s="1"/>
  <c r="A107" i="9"/>
  <c r="D106" i="9"/>
  <c r="E106" i="9" s="1"/>
  <c r="B106" i="9"/>
  <c r="C106" i="9" s="1"/>
  <c r="A106" i="9"/>
  <c r="E105" i="9"/>
  <c r="D105" i="9"/>
  <c r="B105" i="9"/>
  <c r="C105" i="9" s="1"/>
  <c r="A105" i="9"/>
  <c r="D104" i="9"/>
  <c r="E104" i="9" s="1"/>
  <c r="B104" i="9"/>
  <c r="C104" i="9" s="1"/>
  <c r="A104" i="9"/>
  <c r="D103" i="9"/>
  <c r="E103" i="9" s="1"/>
  <c r="B103" i="9"/>
  <c r="C103" i="9" s="1"/>
  <c r="A103" i="9"/>
  <c r="D102" i="9"/>
  <c r="E102" i="9" s="1"/>
  <c r="B102" i="9"/>
  <c r="C102" i="9" s="1"/>
  <c r="A102" i="9"/>
  <c r="D101" i="9"/>
  <c r="E101" i="9" s="1"/>
  <c r="B101" i="9"/>
  <c r="C101" i="9" s="1"/>
  <c r="A101" i="9"/>
  <c r="D100" i="9"/>
  <c r="E100" i="9" s="1"/>
  <c r="C100" i="9"/>
  <c r="B100" i="9"/>
  <c r="A100" i="9"/>
  <c r="D99" i="9"/>
  <c r="E99" i="9" s="1"/>
  <c r="B99" i="9"/>
  <c r="C99" i="9" s="1"/>
  <c r="A99" i="9"/>
  <c r="D98" i="9"/>
  <c r="E98" i="9" s="1"/>
  <c r="B98" i="9"/>
  <c r="C98" i="9" s="1"/>
  <c r="A98" i="9"/>
  <c r="D97" i="9"/>
  <c r="E97" i="9" s="1"/>
  <c r="B97" i="9"/>
  <c r="C97" i="9" s="1"/>
  <c r="A97" i="9"/>
  <c r="D96" i="9"/>
  <c r="E96" i="9" s="1"/>
  <c r="B96" i="9"/>
  <c r="C96" i="9" s="1"/>
  <c r="A96" i="9"/>
  <c r="D95" i="9"/>
  <c r="E95" i="9" s="1"/>
  <c r="B95" i="9"/>
  <c r="C95" i="9" s="1"/>
  <c r="A95" i="9"/>
  <c r="D94" i="9"/>
  <c r="E94" i="9" s="1"/>
  <c r="B94" i="9"/>
  <c r="C94" i="9" s="1"/>
  <c r="A94" i="9"/>
  <c r="E93" i="9"/>
  <c r="D93" i="9"/>
  <c r="B93" i="9"/>
  <c r="C93" i="9" s="1"/>
  <c r="A93" i="9"/>
  <c r="D92" i="9"/>
  <c r="E92" i="9" s="1"/>
  <c r="C92" i="9"/>
  <c r="B92" i="9"/>
  <c r="A92" i="9"/>
  <c r="D91" i="9"/>
  <c r="E91" i="9" s="1"/>
  <c r="B91" i="9"/>
  <c r="C91" i="9" s="1"/>
  <c r="A91" i="9"/>
  <c r="D90" i="9"/>
  <c r="E90" i="9" s="1"/>
  <c r="B90" i="9"/>
  <c r="C90" i="9" s="1"/>
  <c r="A90" i="9"/>
  <c r="D89" i="9"/>
  <c r="E89" i="9" s="1"/>
  <c r="B89" i="9"/>
  <c r="C89" i="9" s="1"/>
  <c r="A89" i="9"/>
  <c r="D88" i="9"/>
  <c r="E88" i="9" s="1"/>
  <c r="B88" i="9"/>
  <c r="C88" i="9" s="1"/>
  <c r="A88" i="9"/>
  <c r="D87" i="9"/>
  <c r="E87" i="9" s="1"/>
  <c r="B87" i="9"/>
  <c r="C87" i="9" s="1"/>
  <c r="A87" i="9"/>
  <c r="D86" i="9"/>
  <c r="E86" i="9" s="1"/>
  <c r="B86" i="9"/>
  <c r="C86" i="9" s="1"/>
  <c r="A86" i="9"/>
  <c r="E85" i="9"/>
  <c r="D85" i="9"/>
  <c r="B85" i="9"/>
  <c r="C85" i="9" s="1"/>
  <c r="A85" i="9"/>
  <c r="D84" i="9"/>
  <c r="E84" i="9" s="1"/>
  <c r="B84" i="9"/>
  <c r="C84" i="9" s="1"/>
  <c r="A84" i="9"/>
  <c r="D83" i="9"/>
  <c r="E83" i="9" s="1"/>
  <c r="B83" i="9"/>
  <c r="C83" i="9" s="1"/>
  <c r="A83" i="9"/>
  <c r="D82" i="9"/>
  <c r="E82" i="9" s="1"/>
  <c r="B82" i="9"/>
  <c r="C82" i="9" s="1"/>
  <c r="A82" i="9"/>
  <c r="D81" i="9"/>
  <c r="E81" i="9" s="1"/>
  <c r="B81" i="9"/>
  <c r="C81" i="9" s="1"/>
  <c r="A81" i="9"/>
  <c r="D80" i="9"/>
  <c r="E80" i="9" s="1"/>
  <c r="B80" i="9"/>
  <c r="C80" i="9" s="1"/>
  <c r="A80" i="9"/>
  <c r="D79" i="9"/>
  <c r="E79" i="9" s="1"/>
  <c r="B79" i="9"/>
  <c r="C79" i="9" s="1"/>
  <c r="A79" i="9"/>
  <c r="E78" i="9"/>
  <c r="D78" i="9"/>
  <c r="B78" i="9"/>
  <c r="C78" i="9" s="1"/>
  <c r="A78" i="9"/>
  <c r="D77" i="9"/>
  <c r="E77" i="9" s="1"/>
  <c r="B77" i="9"/>
  <c r="C77" i="9" s="1"/>
  <c r="A77" i="9"/>
  <c r="D76" i="9"/>
  <c r="E76" i="9" s="1"/>
  <c r="B76" i="9"/>
  <c r="C76" i="9" s="1"/>
  <c r="A76" i="9"/>
  <c r="E75" i="9"/>
  <c r="D75" i="9"/>
  <c r="B75" i="9"/>
  <c r="C75" i="9" s="1"/>
  <c r="A75" i="9"/>
  <c r="D74" i="9"/>
  <c r="E74" i="9" s="1"/>
  <c r="B74" i="9"/>
  <c r="C74" i="9" s="1"/>
  <c r="A74" i="9"/>
  <c r="D73" i="9"/>
  <c r="E73" i="9" s="1"/>
  <c r="B73" i="9"/>
  <c r="C73" i="9" s="1"/>
  <c r="A73" i="9"/>
  <c r="D72" i="9"/>
  <c r="E72" i="9" s="1"/>
  <c r="B72" i="9"/>
  <c r="C72" i="9" s="1"/>
  <c r="A72" i="9"/>
  <c r="D71" i="9"/>
  <c r="E71" i="9" s="1"/>
  <c r="B71" i="9"/>
  <c r="C71" i="9" s="1"/>
  <c r="A71" i="9"/>
  <c r="E70" i="9"/>
  <c r="D70" i="9"/>
  <c r="B70" i="9"/>
  <c r="C70" i="9" s="1"/>
  <c r="A70" i="9"/>
  <c r="D69" i="9"/>
  <c r="E69" i="9" s="1"/>
  <c r="B69" i="9"/>
  <c r="C69" i="9" s="1"/>
  <c r="A69" i="9"/>
  <c r="E68" i="9"/>
  <c r="D68" i="9"/>
  <c r="B68" i="9"/>
  <c r="C68" i="9" s="1"/>
  <c r="A68" i="9"/>
  <c r="D67" i="9"/>
  <c r="E67" i="9" s="1"/>
  <c r="B67" i="9"/>
  <c r="C67" i="9" s="1"/>
  <c r="A67" i="9"/>
  <c r="D66" i="9"/>
  <c r="E66" i="9" s="1"/>
  <c r="B66" i="9"/>
  <c r="C66" i="9" s="1"/>
  <c r="A66" i="9"/>
  <c r="E65" i="9"/>
  <c r="D65" i="9"/>
  <c r="B65" i="9"/>
  <c r="C65" i="9" s="1"/>
  <c r="A65" i="9"/>
  <c r="D64" i="9"/>
  <c r="E64" i="9" s="1"/>
  <c r="C64" i="9"/>
  <c r="B64" i="9"/>
  <c r="A64" i="9"/>
  <c r="D63" i="9"/>
  <c r="E63" i="9" s="1"/>
  <c r="B63" i="9"/>
  <c r="C63" i="9" s="1"/>
  <c r="A63" i="9"/>
  <c r="D62" i="9"/>
  <c r="E62" i="9" s="1"/>
  <c r="B62" i="9"/>
  <c r="C62" i="9" s="1"/>
  <c r="A62" i="9"/>
  <c r="D61" i="9"/>
  <c r="E61" i="9" s="1"/>
  <c r="B61" i="9"/>
  <c r="C61" i="9" s="1"/>
  <c r="A61" i="9"/>
  <c r="D60" i="9"/>
  <c r="E60" i="9" s="1"/>
  <c r="B60" i="9"/>
  <c r="C60" i="9" s="1"/>
  <c r="A60" i="9"/>
  <c r="D59" i="9"/>
  <c r="E59" i="9" s="1"/>
  <c r="B59" i="9"/>
  <c r="C59" i="9" s="1"/>
  <c r="A59" i="9"/>
  <c r="D58" i="9"/>
  <c r="E58" i="9" s="1"/>
  <c r="B58" i="9"/>
  <c r="C58" i="9" s="1"/>
  <c r="A58" i="9"/>
  <c r="E57" i="9"/>
  <c r="D57" i="9"/>
  <c r="B57" i="9"/>
  <c r="C57" i="9" s="1"/>
  <c r="A57" i="9"/>
  <c r="D56" i="9"/>
  <c r="E56" i="9" s="1"/>
  <c r="B56" i="9"/>
  <c r="C56" i="9" s="1"/>
  <c r="A56" i="9"/>
  <c r="D55" i="9"/>
  <c r="E55" i="9" s="1"/>
  <c r="B55" i="9"/>
  <c r="C55" i="9" s="1"/>
  <c r="A55" i="9"/>
  <c r="D54" i="9"/>
  <c r="E54" i="9" s="1"/>
  <c r="B54" i="9"/>
  <c r="C54" i="9" s="1"/>
  <c r="A54" i="9"/>
  <c r="D53" i="9"/>
  <c r="E53" i="9" s="1"/>
  <c r="B53" i="9"/>
  <c r="C53" i="9" s="1"/>
  <c r="A53" i="9"/>
  <c r="D52" i="9"/>
  <c r="E52" i="9" s="1"/>
  <c r="B52" i="9"/>
  <c r="C52" i="9" s="1"/>
  <c r="A52" i="9"/>
  <c r="D51" i="9"/>
  <c r="E51" i="9" s="1"/>
  <c r="B51" i="9"/>
  <c r="C51" i="9" s="1"/>
  <c r="A51" i="9"/>
  <c r="D50" i="9"/>
  <c r="E50" i="9" s="1"/>
  <c r="B50" i="9"/>
  <c r="C50" i="9" s="1"/>
  <c r="A50" i="9"/>
  <c r="D49" i="9"/>
  <c r="E49" i="9" s="1"/>
  <c r="B49" i="9"/>
  <c r="C49" i="9" s="1"/>
  <c r="A49" i="9"/>
  <c r="D48" i="9"/>
  <c r="E48" i="9" s="1"/>
  <c r="B48" i="9"/>
  <c r="C48" i="9" s="1"/>
  <c r="A48" i="9"/>
  <c r="D47" i="9"/>
  <c r="E47" i="9" s="1"/>
  <c r="B47" i="9"/>
  <c r="C47" i="9" s="1"/>
  <c r="A47" i="9"/>
  <c r="D46" i="9"/>
  <c r="E46" i="9" s="1"/>
  <c r="C46" i="9"/>
  <c r="B46" i="9"/>
  <c r="A46" i="9"/>
  <c r="D45" i="9"/>
  <c r="E45" i="9" s="1"/>
  <c r="B45" i="9"/>
  <c r="C45" i="9" s="1"/>
  <c r="A45" i="9"/>
  <c r="D44" i="9"/>
  <c r="E44" i="9" s="1"/>
  <c r="B44" i="9"/>
  <c r="C44" i="9" s="1"/>
  <c r="A44" i="9"/>
  <c r="E43" i="9"/>
  <c r="D43" i="9"/>
  <c r="B43" i="9"/>
  <c r="C43" i="9" s="1"/>
  <c r="A43" i="9"/>
  <c r="D42" i="9"/>
  <c r="E42" i="9" s="1"/>
  <c r="B42" i="9"/>
  <c r="C42" i="9" s="1"/>
  <c r="A42" i="9"/>
  <c r="D41" i="9"/>
  <c r="E41" i="9" s="1"/>
  <c r="B41" i="9"/>
  <c r="C41" i="9" s="1"/>
  <c r="A41" i="9"/>
  <c r="D40" i="9"/>
  <c r="E40" i="9" s="1"/>
  <c r="B40" i="9"/>
  <c r="C40" i="9" s="1"/>
  <c r="A40" i="9"/>
  <c r="D39" i="9"/>
  <c r="E39" i="9" s="1"/>
  <c r="B39" i="9"/>
  <c r="C39" i="9" s="1"/>
  <c r="A39" i="9"/>
  <c r="D38" i="9"/>
  <c r="E38" i="9" s="1"/>
  <c r="B38" i="9"/>
  <c r="C38" i="9" s="1"/>
  <c r="A38" i="9"/>
  <c r="D37" i="9"/>
  <c r="E37" i="9" s="1"/>
  <c r="B37" i="9"/>
  <c r="C37" i="9" s="1"/>
  <c r="A37" i="9"/>
  <c r="E36" i="9"/>
  <c r="D36" i="9"/>
  <c r="B36" i="9"/>
  <c r="C36" i="9" s="1"/>
  <c r="A36" i="9"/>
  <c r="D35" i="9"/>
  <c r="E35" i="9" s="1"/>
  <c r="B35" i="9"/>
  <c r="C35" i="9" s="1"/>
  <c r="A35" i="9"/>
  <c r="D34" i="9"/>
  <c r="E34" i="9" s="1"/>
  <c r="B34" i="9"/>
  <c r="C34" i="9" s="1"/>
  <c r="A34" i="9"/>
  <c r="D33" i="9"/>
  <c r="E33" i="9" s="1"/>
  <c r="B33" i="9"/>
  <c r="C33" i="9" s="1"/>
  <c r="A33" i="9"/>
  <c r="D32" i="9"/>
  <c r="E32" i="9" s="1"/>
  <c r="B32" i="9"/>
  <c r="C32" i="9" s="1"/>
  <c r="A32" i="9"/>
  <c r="D31" i="9"/>
  <c r="E31" i="9" s="1"/>
  <c r="C31" i="9"/>
  <c r="B31" i="9"/>
  <c r="A31" i="9"/>
  <c r="D30" i="9"/>
  <c r="E30" i="9" s="1"/>
  <c r="B30" i="9"/>
  <c r="C30" i="9" s="1"/>
  <c r="A30" i="9"/>
  <c r="D29" i="9"/>
  <c r="E29" i="9" s="1"/>
  <c r="B29" i="9"/>
  <c r="C29" i="9" s="1"/>
  <c r="A29" i="9"/>
  <c r="D28" i="9"/>
  <c r="E28" i="9" s="1"/>
  <c r="C28" i="9"/>
  <c r="B28" i="9"/>
  <c r="A28" i="9"/>
  <c r="D27" i="9"/>
  <c r="E27" i="9" s="1"/>
  <c r="B27" i="9"/>
  <c r="C27" i="9" s="1"/>
  <c r="A27" i="9"/>
  <c r="D26" i="9"/>
  <c r="E26" i="9" s="1"/>
  <c r="B26" i="9"/>
  <c r="C26" i="9" s="1"/>
  <c r="A26" i="9"/>
  <c r="D25" i="9"/>
  <c r="E25" i="9" s="1"/>
  <c r="B25" i="9"/>
  <c r="C25" i="9" s="1"/>
  <c r="A25" i="9"/>
  <c r="E24" i="9"/>
  <c r="D24" i="9"/>
  <c r="B24" i="9"/>
  <c r="C24" i="9" s="1"/>
  <c r="A24" i="9"/>
  <c r="D23" i="9"/>
  <c r="E23" i="9" s="1"/>
  <c r="C23" i="9"/>
  <c r="B23" i="9"/>
  <c r="A23" i="9"/>
  <c r="D22" i="9"/>
  <c r="E22" i="9" s="1"/>
  <c r="B22" i="9"/>
  <c r="C22" i="9" s="1"/>
  <c r="A22" i="9"/>
  <c r="E21" i="9"/>
  <c r="D21" i="9"/>
  <c r="B21" i="9"/>
  <c r="C21" i="9" s="1"/>
  <c r="A21" i="9"/>
  <c r="D20" i="9"/>
  <c r="E20" i="9" s="1"/>
  <c r="B20" i="9"/>
  <c r="C20" i="9" s="1"/>
  <c r="A20" i="9"/>
  <c r="D19" i="9"/>
  <c r="E19" i="9" s="1"/>
  <c r="B19" i="9"/>
  <c r="C19" i="9" s="1"/>
  <c r="A19" i="9"/>
  <c r="D18" i="9"/>
  <c r="E18" i="9" s="1"/>
  <c r="B18" i="9"/>
  <c r="C18" i="9" s="1"/>
  <c r="A18" i="9"/>
  <c r="D17" i="9"/>
  <c r="E17" i="9" s="1"/>
  <c r="B17" i="9"/>
  <c r="C17" i="9" s="1"/>
  <c r="A17" i="9"/>
  <c r="D16" i="9"/>
  <c r="E16" i="9" s="1"/>
  <c r="B16" i="9"/>
  <c r="C16" i="9" s="1"/>
  <c r="A16" i="9"/>
  <c r="D15" i="9"/>
  <c r="E15" i="9" s="1"/>
  <c r="B15" i="9"/>
  <c r="C15" i="9" s="1"/>
  <c r="A15" i="9"/>
  <c r="D14" i="9"/>
  <c r="E14" i="9" s="1"/>
  <c r="C14" i="9"/>
  <c r="B14" i="9"/>
  <c r="A14" i="9"/>
  <c r="D13" i="9"/>
  <c r="E13" i="9" s="1"/>
  <c r="C13" i="9"/>
  <c r="B13" i="9"/>
  <c r="A13" i="9"/>
  <c r="D12" i="9"/>
  <c r="E12" i="9" s="1"/>
  <c r="B12" i="9"/>
  <c r="C12" i="9" s="1"/>
  <c r="A12" i="9"/>
  <c r="E11" i="9"/>
  <c r="D11" i="9"/>
  <c r="B11" i="9"/>
  <c r="C11" i="9" s="1"/>
  <c r="A11" i="9"/>
  <c r="E10" i="9"/>
  <c r="D10" i="9"/>
  <c r="B10" i="9"/>
  <c r="C10" i="9" s="1"/>
  <c r="A10" i="9"/>
  <c r="D9" i="9"/>
  <c r="E9" i="9" s="1"/>
  <c r="B9" i="9"/>
  <c r="C9" i="9" s="1"/>
  <c r="A9" i="9"/>
  <c r="D8" i="9"/>
  <c r="E8" i="9" s="1"/>
  <c r="B8" i="9"/>
  <c r="C8" i="9" s="1"/>
  <c r="A8" i="9"/>
  <c r="E7" i="9"/>
  <c r="D7" i="9"/>
  <c r="B7" i="9"/>
  <c r="C7" i="9" s="1"/>
  <c r="A7" i="9"/>
  <c r="D6" i="9"/>
  <c r="E6" i="9" s="1"/>
  <c r="B6" i="9"/>
  <c r="C6" i="9" s="1"/>
  <c r="A6" i="9"/>
  <c r="D5" i="9"/>
  <c r="E5" i="9" s="1"/>
  <c r="B5" i="9"/>
  <c r="C5" i="9" s="1"/>
  <c r="A5" i="9"/>
  <c r="D4" i="9"/>
  <c r="E4" i="9" s="1"/>
  <c r="B4" i="9"/>
  <c r="C4" i="9" s="1"/>
  <c r="A4" i="9"/>
  <c r="D3" i="9"/>
  <c r="E3" i="9" s="1"/>
  <c r="C3" i="9"/>
  <c r="B3" i="9"/>
  <c r="A3" i="9"/>
  <c r="D2" i="9"/>
  <c r="E2" i="9" s="1"/>
  <c r="B2" i="9"/>
  <c r="C2" i="9" s="1"/>
  <c r="A2" i="9"/>
  <c r="C11" i="8"/>
  <c r="C10" i="8"/>
  <c r="C9" i="8"/>
  <c r="C8" i="8"/>
  <c r="C7" i="8"/>
  <c r="C6" i="8"/>
  <c r="C5" i="8"/>
  <c r="C4" i="8"/>
  <c r="C3" i="8"/>
  <c r="J121" i="7"/>
  <c r="E121" i="7"/>
  <c r="D121" i="7"/>
  <c r="C121" i="7"/>
  <c r="B121" i="7"/>
  <c r="A121" i="7"/>
  <c r="K120" i="7"/>
  <c r="J120" i="7"/>
  <c r="I120" i="7"/>
  <c r="H120" i="7"/>
  <c r="E120" i="7"/>
  <c r="D120" i="7"/>
  <c r="C120" i="7"/>
  <c r="B120" i="7"/>
  <c r="F120" i="7" s="1"/>
  <c r="A120" i="7"/>
  <c r="E119" i="7"/>
  <c r="J119" i="7" s="1"/>
  <c r="D119" i="7"/>
  <c r="C119" i="7"/>
  <c r="B119" i="7"/>
  <c r="F119" i="7" s="1"/>
  <c r="A119" i="7"/>
  <c r="K118" i="7"/>
  <c r="H118" i="7"/>
  <c r="E118" i="7"/>
  <c r="J118" i="7" s="1"/>
  <c r="D118" i="7"/>
  <c r="C118" i="7"/>
  <c r="B118" i="7"/>
  <c r="A118" i="7"/>
  <c r="J117" i="7"/>
  <c r="E117" i="7"/>
  <c r="D117" i="7"/>
  <c r="C117" i="7"/>
  <c r="B117" i="7"/>
  <c r="A117" i="7"/>
  <c r="F116" i="7"/>
  <c r="E116" i="7"/>
  <c r="J116" i="7" s="1"/>
  <c r="D116" i="7"/>
  <c r="C116" i="7"/>
  <c r="B116" i="7"/>
  <c r="A116" i="7"/>
  <c r="E115" i="7"/>
  <c r="J115" i="7" s="1"/>
  <c r="D115" i="7"/>
  <c r="H115" i="7" s="1"/>
  <c r="C115" i="7"/>
  <c r="B115" i="7"/>
  <c r="A115" i="7"/>
  <c r="K114" i="7"/>
  <c r="J114" i="7"/>
  <c r="I114" i="7"/>
  <c r="H114" i="7"/>
  <c r="G114" i="7"/>
  <c r="F114" i="7"/>
  <c r="E114" i="7"/>
  <c r="D114" i="7"/>
  <c r="C114" i="7"/>
  <c r="B114" i="7"/>
  <c r="A114" i="7"/>
  <c r="E113" i="7"/>
  <c r="J113" i="7" s="1"/>
  <c r="D113" i="7"/>
  <c r="H113" i="7" s="1"/>
  <c r="C113" i="7"/>
  <c r="B113" i="7"/>
  <c r="K113" i="7" s="1"/>
  <c r="A113" i="7"/>
  <c r="E112" i="7"/>
  <c r="J112" i="7" s="1"/>
  <c r="D112" i="7"/>
  <c r="C112" i="7"/>
  <c r="B112" i="7"/>
  <c r="F112" i="7" s="1"/>
  <c r="A112" i="7"/>
  <c r="K111" i="7"/>
  <c r="I111" i="7"/>
  <c r="F111" i="7"/>
  <c r="E111" i="7"/>
  <c r="J111" i="7" s="1"/>
  <c r="D111" i="7"/>
  <c r="C111" i="7"/>
  <c r="B111" i="7"/>
  <c r="A111" i="7"/>
  <c r="E110" i="7"/>
  <c r="J110" i="7" s="1"/>
  <c r="D110" i="7"/>
  <c r="L110" i="7" s="1"/>
  <c r="C110" i="7"/>
  <c r="B110" i="7"/>
  <c r="G110" i="7" s="1"/>
  <c r="A110" i="7"/>
  <c r="E109" i="7"/>
  <c r="J109" i="7" s="1"/>
  <c r="D109" i="7"/>
  <c r="H109" i="7" s="1"/>
  <c r="C109" i="7"/>
  <c r="B109" i="7"/>
  <c r="A109" i="7"/>
  <c r="E108" i="7"/>
  <c r="J108" i="7" s="1"/>
  <c r="D108" i="7"/>
  <c r="H108" i="7" s="1"/>
  <c r="C108" i="7"/>
  <c r="B108" i="7"/>
  <c r="A108" i="7"/>
  <c r="K107" i="7"/>
  <c r="I107" i="7"/>
  <c r="F107" i="7"/>
  <c r="E107" i="7"/>
  <c r="J107" i="7" s="1"/>
  <c r="D107" i="7"/>
  <c r="H107" i="7" s="1"/>
  <c r="C107" i="7"/>
  <c r="G107" i="7" s="1"/>
  <c r="B107" i="7"/>
  <c r="A107" i="7"/>
  <c r="E106" i="7"/>
  <c r="D106" i="7"/>
  <c r="H106" i="7" s="1"/>
  <c r="C106" i="7"/>
  <c r="B106" i="7"/>
  <c r="A106" i="7"/>
  <c r="K105" i="7"/>
  <c r="I105" i="7"/>
  <c r="E105" i="7"/>
  <c r="D105" i="7"/>
  <c r="H105" i="7" s="1"/>
  <c r="C105" i="7"/>
  <c r="B105" i="7"/>
  <c r="F105" i="7" s="1"/>
  <c r="A105" i="7"/>
  <c r="E104" i="7"/>
  <c r="J104" i="7" s="1"/>
  <c r="D104" i="7"/>
  <c r="C104" i="7"/>
  <c r="B104" i="7"/>
  <c r="A104" i="7"/>
  <c r="L103" i="7"/>
  <c r="J103" i="7"/>
  <c r="E103" i="7"/>
  <c r="D103" i="7"/>
  <c r="H103" i="7" s="1"/>
  <c r="C103" i="7"/>
  <c r="B103" i="7"/>
  <c r="I103" i="7" s="1"/>
  <c r="A103" i="7"/>
  <c r="E102" i="7"/>
  <c r="J102" i="7" s="1"/>
  <c r="D102" i="7"/>
  <c r="H102" i="7" s="1"/>
  <c r="C102" i="7"/>
  <c r="B102" i="7"/>
  <c r="A102" i="7"/>
  <c r="F101" i="7"/>
  <c r="E101" i="7"/>
  <c r="D101" i="7"/>
  <c r="H101" i="7" s="1"/>
  <c r="C101" i="7"/>
  <c r="B101" i="7"/>
  <c r="A101" i="7"/>
  <c r="K100" i="7"/>
  <c r="I100" i="7"/>
  <c r="E100" i="7"/>
  <c r="J100" i="7" s="1"/>
  <c r="D100" i="7"/>
  <c r="C100" i="7"/>
  <c r="B100" i="7"/>
  <c r="A100" i="7"/>
  <c r="E99" i="7"/>
  <c r="J99" i="7" s="1"/>
  <c r="D99" i="7"/>
  <c r="C99" i="7"/>
  <c r="B99" i="7"/>
  <c r="G99" i="7" s="1"/>
  <c r="A99" i="7"/>
  <c r="E98" i="7"/>
  <c r="J98" i="7" s="1"/>
  <c r="D98" i="7"/>
  <c r="C98" i="7"/>
  <c r="B98" i="7"/>
  <c r="I98" i="7" s="1"/>
  <c r="A98" i="7"/>
  <c r="L97" i="7"/>
  <c r="E97" i="7"/>
  <c r="J97" i="7" s="1"/>
  <c r="D97" i="7"/>
  <c r="H97" i="7" s="1"/>
  <c r="C97" i="7"/>
  <c r="B97" i="7"/>
  <c r="K97" i="7" s="1"/>
  <c r="A97" i="7"/>
  <c r="E96" i="7"/>
  <c r="J96" i="7" s="1"/>
  <c r="D96" i="7"/>
  <c r="H96" i="7" s="1"/>
  <c r="C96" i="7"/>
  <c r="B96" i="7"/>
  <c r="A96" i="7"/>
  <c r="J95" i="7"/>
  <c r="I95" i="7"/>
  <c r="G95" i="7"/>
  <c r="E95" i="7"/>
  <c r="D95" i="7"/>
  <c r="C95" i="7"/>
  <c r="B95" i="7"/>
  <c r="A95" i="7"/>
  <c r="J94" i="7"/>
  <c r="E94" i="7"/>
  <c r="D94" i="7"/>
  <c r="H94" i="7" s="1"/>
  <c r="C94" i="7"/>
  <c r="B94" i="7"/>
  <c r="F94" i="7" s="1"/>
  <c r="A94" i="7"/>
  <c r="K93" i="7"/>
  <c r="I93" i="7"/>
  <c r="E93" i="7"/>
  <c r="J93" i="7" s="1"/>
  <c r="D93" i="7"/>
  <c r="C93" i="7"/>
  <c r="B93" i="7"/>
  <c r="G93" i="7" s="1"/>
  <c r="A93" i="7"/>
  <c r="K92" i="7"/>
  <c r="I92" i="7"/>
  <c r="F92" i="7"/>
  <c r="E92" i="7"/>
  <c r="J92" i="7" s="1"/>
  <c r="D92" i="7"/>
  <c r="C92" i="7"/>
  <c r="G92" i="7" s="1"/>
  <c r="B92" i="7"/>
  <c r="A92" i="7"/>
  <c r="L91" i="7"/>
  <c r="K91" i="7"/>
  <c r="I91" i="7"/>
  <c r="G91" i="7"/>
  <c r="E91" i="7"/>
  <c r="J91" i="7" s="1"/>
  <c r="D91" i="7"/>
  <c r="H91" i="7" s="1"/>
  <c r="C91" i="7"/>
  <c r="B91" i="7"/>
  <c r="F91" i="7" s="1"/>
  <c r="A91" i="7"/>
  <c r="E90" i="7"/>
  <c r="J90" i="7" s="1"/>
  <c r="D90" i="7"/>
  <c r="C90" i="7"/>
  <c r="B90" i="7"/>
  <c r="A90" i="7"/>
  <c r="E89" i="7"/>
  <c r="J89" i="7" s="1"/>
  <c r="D89" i="7"/>
  <c r="C89" i="7"/>
  <c r="B89" i="7"/>
  <c r="A89" i="7"/>
  <c r="H88" i="7"/>
  <c r="E88" i="7"/>
  <c r="J88" i="7" s="1"/>
  <c r="D88" i="7"/>
  <c r="C88" i="7"/>
  <c r="B88" i="7"/>
  <c r="A88" i="7"/>
  <c r="K87" i="7"/>
  <c r="I87" i="7"/>
  <c r="F87" i="7"/>
  <c r="E87" i="7"/>
  <c r="J87" i="7" s="1"/>
  <c r="D87" i="7"/>
  <c r="C87" i="7"/>
  <c r="B87" i="7"/>
  <c r="A87" i="7"/>
  <c r="L86" i="7"/>
  <c r="H86" i="7"/>
  <c r="E86" i="7"/>
  <c r="J86" i="7" s="1"/>
  <c r="D86" i="7"/>
  <c r="C86" i="7"/>
  <c r="B86" i="7"/>
  <c r="A86" i="7"/>
  <c r="L85" i="7"/>
  <c r="K85" i="7"/>
  <c r="J85" i="7"/>
  <c r="I85" i="7"/>
  <c r="H85" i="7"/>
  <c r="G85" i="7"/>
  <c r="E85" i="7"/>
  <c r="D85" i="7"/>
  <c r="C85" i="7"/>
  <c r="B85" i="7"/>
  <c r="F85" i="7" s="1"/>
  <c r="A85" i="7"/>
  <c r="E84" i="7"/>
  <c r="J84" i="7" s="1"/>
  <c r="D84" i="7"/>
  <c r="L84" i="7" s="1"/>
  <c r="C84" i="7"/>
  <c r="B84" i="7"/>
  <c r="G84" i="7" s="1"/>
  <c r="A84" i="7"/>
  <c r="E83" i="7"/>
  <c r="J83" i="7" s="1"/>
  <c r="D83" i="7"/>
  <c r="C83" i="7"/>
  <c r="B83" i="7"/>
  <c r="A83" i="7"/>
  <c r="K82" i="7"/>
  <c r="E82" i="7"/>
  <c r="J82" i="7" s="1"/>
  <c r="D82" i="7"/>
  <c r="C82" i="7"/>
  <c r="B82" i="7"/>
  <c r="F82" i="7" s="1"/>
  <c r="A82" i="7"/>
  <c r="E81" i="7"/>
  <c r="J81" i="7" s="1"/>
  <c r="D81" i="7"/>
  <c r="C81" i="7"/>
  <c r="B81" i="7"/>
  <c r="A81" i="7"/>
  <c r="E80" i="7"/>
  <c r="L80" i="7" s="1"/>
  <c r="D80" i="7"/>
  <c r="H80" i="7" s="1"/>
  <c r="C80" i="7"/>
  <c r="B80" i="7"/>
  <c r="A80" i="7"/>
  <c r="E79" i="7"/>
  <c r="J79" i="7" s="1"/>
  <c r="D79" i="7"/>
  <c r="H79" i="7" s="1"/>
  <c r="C79" i="7"/>
  <c r="B79" i="7"/>
  <c r="A79" i="7"/>
  <c r="H78" i="7"/>
  <c r="E78" i="7"/>
  <c r="D78" i="7"/>
  <c r="C78" i="7"/>
  <c r="B78" i="7"/>
  <c r="A78" i="7"/>
  <c r="K77" i="7"/>
  <c r="F77" i="7"/>
  <c r="E77" i="7"/>
  <c r="J77" i="7" s="1"/>
  <c r="D77" i="7"/>
  <c r="H77" i="7" s="1"/>
  <c r="C77" i="7"/>
  <c r="G77" i="7" s="1"/>
  <c r="B77" i="7"/>
  <c r="I77" i="7" s="1"/>
  <c r="A77" i="7"/>
  <c r="E76" i="7"/>
  <c r="J76" i="7" s="1"/>
  <c r="D76" i="7"/>
  <c r="L76" i="7" s="1"/>
  <c r="C76" i="7"/>
  <c r="B76" i="7"/>
  <c r="A76" i="7"/>
  <c r="E75" i="7"/>
  <c r="J75" i="7" s="1"/>
  <c r="D75" i="7"/>
  <c r="H75" i="7" s="1"/>
  <c r="C75" i="7"/>
  <c r="B75" i="7"/>
  <c r="A75" i="7"/>
  <c r="E74" i="7"/>
  <c r="J74" i="7" s="1"/>
  <c r="D74" i="7"/>
  <c r="C74" i="7"/>
  <c r="B74" i="7"/>
  <c r="A74" i="7"/>
  <c r="L73" i="7"/>
  <c r="J73" i="7"/>
  <c r="H73" i="7"/>
  <c r="E73" i="7"/>
  <c r="D73" i="7"/>
  <c r="C73" i="7"/>
  <c r="B73" i="7"/>
  <c r="A73" i="7"/>
  <c r="J72" i="7"/>
  <c r="E72" i="7"/>
  <c r="D72" i="7"/>
  <c r="L72" i="7" s="1"/>
  <c r="C72" i="7"/>
  <c r="B72" i="7"/>
  <c r="A72" i="7"/>
  <c r="E71" i="7"/>
  <c r="J71" i="7" s="1"/>
  <c r="D71" i="7"/>
  <c r="C71" i="7"/>
  <c r="B71" i="7"/>
  <c r="A71" i="7"/>
  <c r="E70" i="7"/>
  <c r="J70" i="7" s="1"/>
  <c r="D70" i="7"/>
  <c r="L70" i="7" s="1"/>
  <c r="C70" i="7"/>
  <c r="B70" i="7"/>
  <c r="A70" i="7"/>
  <c r="L69" i="7"/>
  <c r="K69" i="7"/>
  <c r="J69" i="7"/>
  <c r="I69" i="7"/>
  <c r="H69" i="7"/>
  <c r="E69" i="7"/>
  <c r="D69" i="7"/>
  <c r="C69" i="7"/>
  <c r="B69" i="7"/>
  <c r="G69" i="7" s="1"/>
  <c r="A69" i="7"/>
  <c r="E68" i="7"/>
  <c r="J68" i="7" s="1"/>
  <c r="D68" i="7"/>
  <c r="C68" i="7"/>
  <c r="B68" i="7"/>
  <c r="A68" i="7"/>
  <c r="E67" i="7"/>
  <c r="J67" i="7" s="1"/>
  <c r="D67" i="7"/>
  <c r="L67" i="7" s="1"/>
  <c r="C67" i="7"/>
  <c r="B67" i="7"/>
  <c r="A67" i="7"/>
  <c r="K66" i="7"/>
  <c r="E66" i="7"/>
  <c r="J66" i="7" s="1"/>
  <c r="D66" i="7"/>
  <c r="C66" i="7"/>
  <c r="B66" i="7"/>
  <c r="I66" i="7" s="1"/>
  <c r="A66" i="7"/>
  <c r="I65" i="7"/>
  <c r="F65" i="7"/>
  <c r="E65" i="7"/>
  <c r="J65" i="7" s="1"/>
  <c r="D65" i="7"/>
  <c r="H65" i="7" s="1"/>
  <c r="C65" i="7"/>
  <c r="G65" i="7" s="1"/>
  <c r="B65" i="7"/>
  <c r="K65" i="7" s="1"/>
  <c r="A65" i="7"/>
  <c r="E64" i="7"/>
  <c r="J64" i="7" s="1"/>
  <c r="D64" i="7"/>
  <c r="H64" i="7" s="1"/>
  <c r="C64" i="7"/>
  <c r="B64" i="7"/>
  <c r="A64" i="7"/>
  <c r="K63" i="7"/>
  <c r="E63" i="7"/>
  <c r="J63" i="7" s="1"/>
  <c r="D63" i="7"/>
  <c r="C63" i="7"/>
  <c r="B63" i="7"/>
  <c r="I63" i="7" s="1"/>
  <c r="A63" i="7"/>
  <c r="E62" i="7"/>
  <c r="J62" i="7" s="1"/>
  <c r="D62" i="7"/>
  <c r="C62" i="7"/>
  <c r="B62" i="7"/>
  <c r="A62" i="7"/>
  <c r="J61" i="7"/>
  <c r="E61" i="7"/>
  <c r="D61" i="7"/>
  <c r="C61" i="7"/>
  <c r="B61" i="7"/>
  <c r="A61" i="7"/>
  <c r="F60" i="7"/>
  <c r="E60" i="7"/>
  <c r="J60" i="7" s="1"/>
  <c r="D60" i="7"/>
  <c r="C60" i="7"/>
  <c r="G60" i="7" s="1"/>
  <c r="B60" i="7"/>
  <c r="A60" i="7"/>
  <c r="L59" i="7"/>
  <c r="H59" i="7"/>
  <c r="E59" i="7"/>
  <c r="J59" i="7" s="1"/>
  <c r="D59" i="7"/>
  <c r="C59" i="7"/>
  <c r="B59" i="7"/>
  <c r="A59" i="7"/>
  <c r="E58" i="7"/>
  <c r="J58" i="7" s="1"/>
  <c r="D58" i="7"/>
  <c r="C58" i="7"/>
  <c r="B58" i="7"/>
  <c r="A58" i="7"/>
  <c r="I57" i="7"/>
  <c r="E57" i="7"/>
  <c r="J57" i="7" s="1"/>
  <c r="D57" i="7"/>
  <c r="H57" i="7" s="1"/>
  <c r="C57" i="7"/>
  <c r="B57" i="7"/>
  <c r="K57" i="7" s="1"/>
  <c r="A57" i="7"/>
  <c r="E56" i="7"/>
  <c r="J56" i="7" s="1"/>
  <c r="D56" i="7"/>
  <c r="C56" i="7"/>
  <c r="B56" i="7"/>
  <c r="A56" i="7"/>
  <c r="K55" i="7"/>
  <c r="G55" i="7"/>
  <c r="E55" i="7"/>
  <c r="J55" i="7" s="1"/>
  <c r="D55" i="7"/>
  <c r="H55" i="7" s="1"/>
  <c r="C55" i="7"/>
  <c r="B55" i="7"/>
  <c r="A55" i="7"/>
  <c r="E54" i="7"/>
  <c r="J54" i="7" s="1"/>
  <c r="D54" i="7"/>
  <c r="C54" i="7"/>
  <c r="B54" i="7"/>
  <c r="A54" i="7"/>
  <c r="E53" i="7"/>
  <c r="J53" i="7" s="1"/>
  <c r="D53" i="7"/>
  <c r="C53" i="7"/>
  <c r="B53" i="7"/>
  <c r="K53" i="7" s="1"/>
  <c r="A53" i="7"/>
  <c r="E52" i="7"/>
  <c r="J52" i="7" s="1"/>
  <c r="D52" i="7"/>
  <c r="L52" i="7" s="1"/>
  <c r="C52" i="7"/>
  <c r="B52" i="7"/>
  <c r="A52" i="7"/>
  <c r="K51" i="7"/>
  <c r="H51" i="7"/>
  <c r="F51" i="7"/>
  <c r="E51" i="7"/>
  <c r="J51" i="7" s="1"/>
  <c r="D51" i="7"/>
  <c r="L51" i="7" s="1"/>
  <c r="C51" i="7"/>
  <c r="G51" i="7" s="1"/>
  <c r="B51" i="7"/>
  <c r="I51" i="7" s="1"/>
  <c r="A51" i="7"/>
  <c r="K50" i="7"/>
  <c r="I50" i="7"/>
  <c r="G50" i="7"/>
  <c r="F50" i="7"/>
  <c r="E50" i="7"/>
  <c r="J50" i="7" s="1"/>
  <c r="D50" i="7"/>
  <c r="C50" i="7"/>
  <c r="B50" i="7"/>
  <c r="A50" i="7"/>
  <c r="E49" i="7"/>
  <c r="J49" i="7" s="1"/>
  <c r="D49" i="7"/>
  <c r="C49" i="7"/>
  <c r="B49" i="7"/>
  <c r="F49" i="7" s="1"/>
  <c r="A49" i="7"/>
  <c r="K48" i="7"/>
  <c r="J48" i="7"/>
  <c r="I48" i="7"/>
  <c r="E48" i="7"/>
  <c r="D48" i="7"/>
  <c r="L48" i="7" s="1"/>
  <c r="C48" i="7"/>
  <c r="B48" i="7"/>
  <c r="F48" i="7" s="1"/>
  <c r="A48" i="7"/>
  <c r="F47" i="7"/>
  <c r="E47" i="7"/>
  <c r="J47" i="7" s="1"/>
  <c r="D47" i="7"/>
  <c r="L47" i="7" s="1"/>
  <c r="C47" i="7"/>
  <c r="G47" i="7" s="1"/>
  <c r="B47" i="7"/>
  <c r="A47" i="7"/>
  <c r="E46" i="7"/>
  <c r="J46" i="7" s="1"/>
  <c r="D46" i="7"/>
  <c r="C46" i="7"/>
  <c r="B46" i="7"/>
  <c r="A46" i="7"/>
  <c r="J45" i="7"/>
  <c r="E45" i="7"/>
  <c r="D45" i="7"/>
  <c r="H45" i="7" s="1"/>
  <c r="C45" i="7"/>
  <c r="B45" i="7"/>
  <c r="G45" i="7" s="1"/>
  <c r="A45" i="7"/>
  <c r="E44" i="7"/>
  <c r="J44" i="7" s="1"/>
  <c r="D44" i="7"/>
  <c r="L44" i="7" s="1"/>
  <c r="C44" i="7"/>
  <c r="B44" i="7"/>
  <c r="I44" i="7" s="1"/>
  <c r="A44" i="7"/>
  <c r="E43" i="7"/>
  <c r="J43" i="7" s="1"/>
  <c r="D43" i="7"/>
  <c r="C43" i="7"/>
  <c r="B43" i="7"/>
  <c r="A43" i="7"/>
  <c r="J42" i="7"/>
  <c r="I42" i="7"/>
  <c r="H42" i="7"/>
  <c r="E42" i="7"/>
  <c r="D42" i="7"/>
  <c r="L42" i="7" s="1"/>
  <c r="C42" i="7"/>
  <c r="B42" i="7"/>
  <c r="G42" i="7" s="1"/>
  <c r="A42" i="7"/>
  <c r="I41" i="7"/>
  <c r="F41" i="7"/>
  <c r="E41" i="7"/>
  <c r="J41" i="7" s="1"/>
  <c r="D41" i="7"/>
  <c r="C41" i="7"/>
  <c r="B41" i="7"/>
  <c r="A41" i="7"/>
  <c r="I40" i="7"/>
  <c r="H40" i="7"/>
  <c r="G40" i="7"/>
  <c r="E40" i="7"/>
  <c r="D40" i="7"/>
  <c r="C40" i="7"/>
  <c r="B40" i="7"/>
  <c r="K40" i="7" s="1"/>
  <c r="A40" i="7"/>
  <c r="E39" i="7"/>
  <c r="J39" i="7" s="1"/>
  <c r="D39" i="7"/>
  <c r="H39" i="7" s="1"/>
  <c r="C39" i="7"/>
  <c r="B39" i="7"/>
  <c r="K39" i="7" s="1"/>
  <c r="A39" i="7"/>
  <c r="I38" i="7"/>
  <c r="F38" i="7"/>
  <c r="E38" i="7"/>
  <c r="J38" i="7" s="1"/>
  <c r="D38" i="7"/>
  <c r="H38" i="7" s="1"/>
  <c r="C38" i="7"/>
  <c r="B38" i="7"/>
  <c r="K38" i="7" s="1"/>
  <c r="A38" i="7"/>
  <c r="E37" i="7"/>
  <c r="J37" i="7" s="1"/>
  <c r="D37" i="7"/>
  <c r="L37" i="7" s="1"/>
  <c r="C37" i="7"/>
  <c r="B37" i="7"/>
  <c r="K37" i="7" s="1"/>
  <c r="A37" i="7"/>
  <c r="E36" i="7"/>
  <c r="J36" i="7" s="1"/>
  <c r="D36" i="7"/>
  <c r="C36" i="7"/>
  <c r="B36" i="7"/>
  <c r="K36" i="7" s="1"/>
  <c r="A36" i="7"/>
  <c r="E35" i="7"/>
  <c r="J35" i="7" s="1"/>
  <c r="D35" i="7"/>
  <c r="H35" i="7" s="1"/>
  <c r="C35" i="7"/>
  <c r="B35" i="7"/>
  <c r="A35" i="7"/>
  <c r="L34" i="7"/>
  <c r="K34" i="7"/>
  <c r="J34" i="7"/>
  <c r="H34" i="7"/>
  <c r="G34" i="7"/>
  <c r="F34" i="7"/>
  <c r="E34" i="7"/>
  <c r="D34" i="7"/>
  <c r="C34" i="7"/>
  <c r="B34" i="7"/>
  <c r="I34" i="7" s="1"/>
  <c r="A34" i="7"/>
  <c r="E33" i="7"/>
  <c r="J33" i="7" s="1"/>
  <c r="D33" i="7"/>
  <c r="C33" i="7"/>
  <c r="B33" i="7"/>
  <c r="A33" i="7"/>
  <c r="K32" i="7"/>
  <c r="J32" i="7"/>
  <c r="I32" i="7"/>
  <c r="F32" i="7"/>
  <c r="E32" i="7"/>
  <c r="D32" i="7"/>
  <c r="L32" i="7" s="1"/>
  <c r="C32" i="7"/>
  <c r="G32" i="7" s="1"/>
  <c r="B32" i="7"/>
  <c r="A32" i="7"/>
  <c r="E31" i="7"/>
  <c r="J31" i="7" s="1"/>
  <c r="D31" i="7"/>
  <c r="H31" i="7" s="1"/>
  <c r="C31" i="7"/>
  <c r="B31" i="7"/>
  <c r="A31" i="7"/>
  <c r="J30" i="7"/>
  <c r="E30" i="7"/>
  <c r="D30" i="7"/>
  <c r="C30" i="7"/>
  <c r="B30" i="7"/>
  <c r="A30" i="7"/>
  <c r="J29" i="7"/>
  <c r="E29" i="7"/>
  <c r="D29" i="7"/>
  <c r="L29" i="7" s="1"/>
  <c r="C29" i="7"/>
  <c r="B29" i="7"/>
  <c r="A29" i="7"/>
  <c r="F28" i="7"/>
  <c r="E28" i="7"/>
  <c r="J28" i="7" s="1"/>
  <c r="D28" i="7"/>
  <c r="C28" i="7"/>
  <c r="B28" i="7"/>
  <c r="A28" i="7"/>
  <c r="E27" i="7"/>
  <c r="J27" i="7" s="1"/>
  <c r="D27" i="7"/>
  <c r="C27" i="7"/>
  <c r="B27" i="7"/>
  <c r="F27" i="7" s="1"/>
  <c r="A27" i="7"/>
  <c r="E26" i="7"/>
  <c r="J26" i="7" s="1"/>
  <c r="D26" i="7"/>
  <c r="C26" i="7"/>
  <c r="B26" i="7"/>
  <c r="K26" i="7" s="1"/>
  <c r="A26" i="7"/>
  <c r="K25" i="7"/>
  <c r="J25" i="7"/>
  <c r="I25" i="7"/>
  <c r="G25" i="7"/>
  <c r="F25" i="7"/>
  <c r="E25" i="7"/>
  <c r="D25" i="7"/>
  <c r="H25" i="7" s="1"/>
  <c r="C25" i="7"/>
  <c r="B25" i="7"/>
  <c r="A25" i="7"/>
  <c r="E24" i="7"/>
  <c r="J24" i="7" s="1"/>
  <c r="D24" i="7"/>
  <c r="C24" i="7"/>
  <c r="B24" i="7"/>
  <c r="A24" i="7"/>
  <c r="H23" i="7"/>
  <c r="E23" i="7"/>
  <c r="J23" i="7" s="1"/>
  <c r="D23" i="7"/>
  <c r="C23" i="7"/>
  <c r="B23" i="7"/>
  <c r="A23" i="7"/>
  <c r="J22" i="7"/>
  <c r="E22" i="7"/>
  <c r="D22" i="7"/>
  <c r="C22" i="7"/>
  <c r="B22" i="7"/>
  <c r="A22" i="7"/>
  <c r="I21" i="7"/>
  <c r="F21" i="7"/>
  <c r="E21" i="7"/>
  <c r="J21" i="7" s="1"/>
  <c r="D21" i="7"/>
  <c r="L21" i="7" s="1"/>
  <c r="C21" i="7"/>
  <c r="G21" i="7" s="1"/>
  <c r="B21" i="7"/>
  <c r="K21" i="7" s="1"/>
  <c r="A21" i="7"/>
  <c r="E20" i="7"/>
  <c r="J20" i="7" s="1"/>
  <c r="D20" i="7"/>
  <c r="H20" i="7" s="1"/>
  <c r="C20" i="7"/>
  <c r="B20" i="7"/>
  <c r="A20" i="7"/>
  <c r="E19" i="7"/>
  <c r="J19" i="7" s="1"/>
  <c r="D19" i="7"/>
  <c r="C19" i="7"/>
  <c r="B19" i="7"/>
  <c r="F19" i="7" s="1"/>
  <c r="A19" i="7"/>
  <c r="K18" i="7"/>
  <c r="J18" i="7"/>
  <c r="I18" i="7"/>
  <c r="H18" i="7"/>
  <c r="G18" i="7"/>
  <c r="E18" i="7"/>
  <c r="D18" i="7"/>
  <c r="C18" i="7"/>
  <c r="B18" i="7"/>
  <c r="F18" i="7" s="1"/>
  <c r="A18" i="7"/>
  <c r="E17" i="7"/>
  <c r="J17" i="7" s="1"/>
  <c r="D17" i="7"/>
  <c r="C17" i="7"/>
  <c r="B17" i="7"/>
  <c r="A17" i="7"/>
  <c r="L16" i="7"/>
  <c r="K16" i="7"/>
  <c r="J16" i="7"/>
  <c r="H16" i="7"/>
  <c r="E16" i="7"/>
  <c r="D16" i="7"/>
  <c r="C16" i="7"/>
  <c r="B16" i="7"/>
  <c r="A16" i="7"/>
  <c r="E15" i="7"/>
  <c r="J15" i="7" s="1"/>
  <c r="D15" i="7"/>
  <c r="H15" i="7" s="1"/>
  <c r="C15" i="7"/>
  <c r="B15" i="7"/>
  <c r="A15" i="7"/>
  <c r="L14" i="7"/>
  <c r="J14" i="7"/>
  <c r="H14" i="7"/>
  <c r="E14" i="7"/>
  <c r="D14" i="7"/>
  <c r="C14" i="7"/>
  <c r="B14" i="7"/>
  <c r="G14" i="7" s="1"/>
  <c r="A14" i="7"/>
  <c r="J13" i="7"/>
  <c r="E13" i="7"/>
  <c r="D13" i="7"/>
  <c r="L13" i="7" s="1"/>
  <c r="C13" i="7"/>
  <c r="B13" i="7"/>
  <c r="A13" i="7"/>
  <c r="K12" i="7"/>
  <c r="I12" i="7"/>
  <c r="E12" i="7"/>
  <c r="J12" i="7" s="1"/>
  <c r="D12" i="7"/>
  <c r="H12" i="7" s="1"/>
  <c r="C12" i="7"/>
  <c r="B12" i="7"/>
  <c r="G12" i="7" s="1"/>
  <c r="A12" i="7"/>
  <c r="E11" i="7"/>
  <c r="J11" i="7" s="1"/>
  <c r="D11" i="7"/>
  <c r="C11" i="7"/>
  <c r="B11" i="7"/>
  <c r="A11" i="7"/>
  <c r="K10" i="7"/>
  <c r="J10" i="7"/>
  <c r="I10" i="7"/>
  <c r="E10" i="7"/>
  <c r="D10" i="7"/>
  <c r="C10" i="7"/>
  <c r="B10" i="7"/>
  <c r="F10" i="7" s="1"/>
  <c r="A10" i="7"/>
  <c r="K9" i="7"/>
  <c r="I9" i="7"/>
  <c r="G9" i="7"/>
  <c r="F9" i="7"/>
  <c r="E9" i="7"/>
  <c r="J9" i="7" s="1"/>
  <c r="D9" i="7"/>
  <c r="C9" i="7"/>
  <c r="B9" i="7"/>
  <c r="A9" i="7"/>
  <c r="E8" i="7"/>
  <c r="J8" i="7" s="1"/>
  <c r="D8" i="7"/>
  <c r="C8" i="7"/>
  <c r="B8" i="7"/>
  <c r="A8" i="7"/>
  <c r="J7" i="7"/>
  <c r="H7" i="7"/>
  <c r="E7" i="7"/>
  <c r="D7" i="7"/>
  <c r="L7" i="7" s="1"/>
  <c r="C7" i="7"/>
  <c r="B7" i="7"/>
  <c r="K7" i="7" s="1"/>
  <c r="A7" i="7"/>
  <c r="I6" i="7"/>
  <c r="G6" i="7"/>
  <c r="E6" i="7"/>
  <c r="J6" i="7" s="1"/>
  <c r="D6" i="7"/>
  <c r="L6" i="7" s="1"/>
  <c r="C6" i="7"/>
  <c r="B6" i="7"/>
  <c r="A6" i="7"/>
  <c r="E5" i="7"/>
  <c r="J5" i="7" s="1"/>
  <c r="D5" i="7"/>
  <c r="C5" i="7"/>
  <c r="B5" i="7"/>
  <c r="A5" i="7"/>
  <c r="E4" i="7"/>
  <c r="J4" i="7" s="1"/>
  <c r="D4" i="7"/>
  <c r="L4" i="7" s="1"/>
  <c r="C4" i="7"/>
  <c r="B4" i="7"/>
  <c r="I4" i="7" s="1"/>
  <c r="A4" i="7"/>
  <c r="E3" i="7"/>
  <c r="J3" i="7" s="1"/>
  <c r="D3" i="7"/>
  <c r="C3" i="7"/>
  <c r="B3" i="7"/>
  <c r="A3" i="7"/>
  <c r="J2" i="7"/>
  <c r="H2" i="7"/>
  <c r="E2" i="7"/>
  <c r="D2" i="7"/>
  <c r="C2" i="7"/>
  <c r="B2" i="7"/>
  <c r="F2" i="7" s="1"/>
  <c r="A2" i="7"/>
  <c r="C12" i="6"/>
  <c r="C11" i="6"/>
  <c r="C10" i="6"/>
  <c r="C9" i="6"/>
  <c r="C8" i="6"/>
  <c r="C7" i="6"/>
  <c r="C6" i="6"/>
  <c r="C5" i="6"/>
  <c r="C4" i="6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C29" i="5"/>
  <c r="F28" i="5"/>
  <c r="E28" i="5"/>
  <c r="F27" i="5"/>
  <c r="E27" i="5"/>
  <c r="F26" i="5"/>
  <c r="E26" i="5"/>
  <c r="C26" i="5"/>
  <c r="F25" i="5"/>
  <c r="E25" i="5"/>
  <c r="C25" i="5"/>
  <c r="F24" i="5"/>
  <c r="E24" i="5"/>
  <c r="C24" i="5"/>
  <c r="F23" i="5"/>
  <c r="E23" i="5"/>
  <c r="C23" i="5"/>
  <c r="F22" i="5"/>
  <c r="E22" i="5"/>
  <c r="C22" i="5"/>
  <c r="F21" i="5"/>
  <c r="E21" i="5"/>
  <c r="C21" i="5"/>
  <c r="F20" i="5"/>
  <c r="E20" i="5"/>
  <c r="F19" i="5"/>
  <c r="E19" i="5"/>
  <c r="F18" i="5"/>
  <c r="E18" i="5"/>
  <c r="F17" i="5"/>
  <c r="E17" i="5"/>
  <c r="F16" i="5"/>
  <c r="E16" i="5"/>
  <c r="C16" i="5"/>
  <c r="F15" i="5"/>
  <c r="E15" i="5"/>
  <c r="C15" i="5"/>
  <c r="F14" i="5"/>
  <c r="E14" i="5"/>
  <c r="C14" i="5"/>
  <c r="F13" i="5"/>
  <c r="E13" i="5"/>
  <c r="C13" i="5"/>
  <c r="F12" i="5"/>
  <c r="E12" i="5"/>
  <c r="C12" i="5"/>
  <c r="F11" i="5"/>
  <c r="E11" i="5"/>
  <c r="C11" i="5"/>
  <c r="F10" i="5"/>
  <c r="E10" i="5"/>
  <c r="C10" i="5"/>
  <c r="F9" i="5"/>
  <c r="E9" i="5"/>
  <c r="C9" i="5"/>
  <c r="F8" i="5"/>
  <c r="E8" i="5"/>
  <c r="C8" i="5"/>
  <c r="F7" i="5"/>
  <c r="E7" i="5"/>
  <c r="C7" i="5"/>
  <c r="F6" i="5"/>
  <c r="E6" i="5"/>
  <c r="C6" i="5"/>
  <c r="F5" i="5"/>
  <c r="E5" i="5"/>
  <c r="C5" i="5"/>
  <c r="F4" i="5"/>
  <c r="E4" i="5"/>
  <c r="F3" i="5"/>
  <c r="E3" i="5"/>
  <c r="F2" i="5"/>
  <c r="E2" i="5"/>
  <c r="P121" i="1"/>
  <c r="O121" i="1"/>
  <c r="N121" i="1"/>
  <c r="M121" i="1"/>
  <c r="L121" i="1"/>
  <c r="K121" i="1"/>
  <c r="P120" i="1"/>
  <c r="O120" i="1"/>
  <c r="N120" i="1"/>
  <c r="M120" i="1"/>
  <c r="L120" i="1"/>
  <c r="K120" i="1"/>
  <c r="P119" i="1"/>
  <c r="O119" i="1"/>
  <c r="N119" i="1"/>
  <c r="M119" i="1"/>
  <c r="L119" i="1"/>
  <c r="K119" i="1"/>
  <c r="P118" i="1"/>
  <c r="O118" i="1"/>
  <c r="N118" i="1"/>
  <c r="M118" i="1"/>
  <c r="L118" i="1"/>
  <c r="K118" i="1"/>
  <c r="P117" i="1"/>
  <c r="O117" i="1"/>
  <c r="N117" i="1"/>
  <c r="M117" i="1"/>
  <c r="L117" i="1"/>
  <c r="K117" i="1"/>
  <c r="P116" i="1"/>
  <c r="O116" i="1"/>
  <c r="N116" i="1"/>
  <c r="M116" i="1"/>
  <c r="L116" i="1"/>
  <c r="K116" i="1"/>
  <c r="P115" i="1"/>
  <c r="O115" i="1"/>
  <c r="N115" i="1"/>
  <c r="M115" i="1"/>
  <c r="L115" i="1"/>
  <c r="K115" i="1"/>
  <c r="P114" i="1"/>
  <c r="O114" i="1"/>
  <c r="N114" i="1"/>
  <c r="M114" i="1"/>
  <c r="L114" i="1"/>
  <c r="K114" i="1"/>
  <c r="P113" i="1"/>
  <c r="O113" i="1"/>
  <c r="N113" i="1"/>
  <c r="M113" i="1"/>
  <c r="L113" i="1"/>
  <c r="K113" i="1"/>
  <c r="P112" i="1"/>
  <c r="O112" i="1"/>
  <c r="N112" i="1"/>
  <c r="M112" i="1"/>
  <c r="L112" i="1"/>
  <c r="K112" i="1"/>
  <c r="P111" i="1"/>
  <c r="O111" i="1"/>
  <c r="N111" i="1"/>
  <c r="M111" i="1"/>
  <c r="L111" i="1"/>
  <c r="K111" i="1"/>
  <c r="P110" i="1"/>
  <c r="O110" i="1"/>
  <c r="N110" i="1"/>
  <c r="M110" i="1"/>
  <c r="L110" i="1"/>
  <c r="K110" i="1"/>
  <c r="P109" i="1"/>
  <c r="O109" i="1"/>
  <c r="N109" i="1"/>
  <c r="M109" i="1"/>
  <c r="L109" i="1"/>
  <c r="K109" i="1"/>
  <c r="P108" i="1"/>
  <c r="O108" i="1"/>
  <c r="N108" i="1"/>
  <c r="M108" i="1"/>
  <c r="L108" i="1"/>
  <c r="K108" i="1"/>
  <c r="P107" i="1"/>
  <c r="O107" i="1"/>
  <c r="N107" i="1"/>
  <c r="M107" i="1"/>
  <c r="L107" i="1"/>
  <c r="K107" i="1"/>
  <c r="P106" i="1"/>
  <c r="O106" i="1"/>
  <c r="N106" i="1"/>
  <c r="M106" i="1"/>
  <c r="L106" i="1"/>
  <c r="K106" i="1"/>
  <c r="P105" i="1"/>
  <c r="O105" i="1"/>
  <c r="N105" i="1"/>
  <c r="M105" i="1"/>
  <c r="L105" i="1"/>
  <c r="K105" i="1"/>
  <c r="P104" i="1"/>
  <c r="O104" i="1"/>
  <c r="N104" i="1"/>
  <c r="M104" i="1"/>
  <c r="L104" i="1"/>
  <c r="K104" i="1"/>
  <c r="P103" i="1"/>
  <c r="O103" i="1"/>
  <c r="N103" i="1"/>
  <c r="M103" i="1"/>
  <c r="L103" i="1"/>
  <c r="K103" i="1"/>
  <c r="P102" i="1"/>
  <c r="O102" i="1"/>
  <c r="N102" i="1"/>
  <c r="M102" i="1"/>
  <c r="L102" i="1"/>
  <c r="K102" i="1"/>
  <c r="P101" i="1"/>
  <c r="O101" i="1"/>
  <c r="N101" i="1"/>
  <c r="M101" i="1"/>
  <c r="L101" i="1"/>
  <c r="K101" i="1"/>
  <c r="P100" i="1"/>
  <c r="O100" i="1"/>
  <c r="N100" i="1"/>
  <c r="M100" i="1"/>
  <c r="L100" i="1"/>
  <c r="K100" i="1"/>
  <c r="P99" i="1"/>
  <c r="O99" i="1"/>
  <c r="N99" i="1"/>
  <c r="M99" i="1"/>
  <c r="L99" i="1"/>
  <c r="K99" i="1"/>
  <c r="P98" i="1"/>
  <c r="O98" i="1"/>
  <c r="N98" i="1"/>
  <c r="M98" i="1"/>
  <c r="L98" i="1"/>
  <c r="K98" i="1"/>
  <c r="P97" i="1"/>
  <c r="O97" i="1"/>
  <c r="N97" i="1"/>
  <c r="M97" i="1"/>
  <c r="L97" i="1"/>
  <c r="K97" i="1"/>
  <c r="P96" i="1"/>
  <c r="O96" i="1"/>
  <c r="N96" i="1"/>
  <c r="M96" i="1"/>
  <c r="L96" i="1"/>
  <c r="K96" i="1"/>
  <c r="P95" i="1"/>
  <c r="O95" i="1"/>
  <c r="N95" i="1"/>
  <c r="M95" i="1"/>
  <c r="L95" i="1"/>
  <c r="K95" i="1"/>
  <c r="P94" i="1"/>
  <c r="O94" i="1"/>
  <c r="N94" i="1"/>
  <c r="M94" i="1"/>
  <c r="L94" i="1"/>
  <c r="K94" i="1"/>
  <c r="P93" i="1"/>
  <c r="O93" i="1"/>
  <c r="N93" i="1"/>
  <c r="M93" i="1"/>
  <c r="L93" i="1"/>
  <c r="K93" i="1"/>
  <c r="P92" i="1"/>
  <c r="O92" i="1"/>
  <c r="N92" i="1"/>
  <c r="M92" i="1"/>
  <c r="L92" i="1"/>
  <c r="K92" i="1"/>
  <c r="P91" i="1"/>
  <c r="O91" i="1"/>
  <c r="N91" i="1"/>
  <c r="M91" i="1"/>
  <c r="L91" i="1"/>
  <c r="K91" i="1"/>
  <c r="P90" i="1"/>
  <c r="O90" i="1"/>
  <c r="N90" i="1"/>
  <c r="M90" i="1"/>
  <c r="L90" i="1"/>
  <c r="K90" i="1"/>
  <c r="P89" i="1"/>
  <c r="O89" i="1"/>
  <c r="N89" i="1"/>
  <c r="M89" i="1"/>
  <c r="L89" i="1"/>
  <c r="K89" i="1"/>
  <c r="P88" i="1"/>
  <c r="O88" i="1"/>
  <c r="N88" i="1"/>
  <c r="M88" i="1"/>
  <c r="L88" i="1"/>
  <c r="K88" i="1"/>
  <c r="P87" i="1"/>
  <c r="O87" i="1"/>
  <c r="N87" i="1"/>
  <c r="M87" i="1"/>
  <c r="L87" i="1"/>
  <c r="K87" i="1"/>
  <c r="P86" i="1"/>
  <c r="O86" i="1"/>
  <c r="N86" i="1"/>
  <c r="M86" i="1"/>
  <c r="L86" i="1"/>
  <c r="K86" i="1"/>
  <c r="P85" i="1"/>
  <c r="O85" i="1"/>
  <c r="N85" i="1"/>
  <c r="M85" i="1"/>
  <c r="L85" i="1"/>
  <c r="K85" i="1"/>
  <c r="P84" i="1"/>
  <c r="O84" i="1"/>
  <c r="N84" i="1"/>
  <c r="M84" i="1"/>
  <c r="L84" i="1"/>
  <c r="K84" i="1"/>
  <c r="P83" i="1"/>
  <c r="O83" i="1"/>
  <c r="N83" i="1"/>
  <c r="M83" i="1"/>
  <c r="L83" i="1"/>
  <c r="K83" i="1"/>
  <c r="P82" i="1"/>
  <c r="O82" i="1"/>
  <c r="N82" i="1"/>
  <c r="M82" i="1"/>
  <c r="L82" i="1"/>
  <c r="K82" i="1"/>
  <c r="P81" i="1"/>
  <c r="O81" i="1"/>
  <c r="N81" i="1"/>
  <c r="M81" i="1"/>
  <c r="L81" i="1"/>
  <c r="K81" i="1"/>
  <c r="P80" i="1"/>
  <c r="O80" i="1"/>
  <c r="N80" i="1"/>
  <c r="M80" i="1"/>
  <c r="L80" i="1"/>
  <c r="K80" i="1"/>
  <c r="P79" i="1"/>
  <c r="O79" i="1"/>
  <c r="N79" i="1"/>
  <c r="M79" i="1"/>
  <c r="L79" i="1"/>
  <c r="K79" i="1"/>
  <c r="P78" i="1"/>
  <c r="O78" i="1"/>
  <c r="N78" i="1"/>
  <c r="M78" i="1"/>
  <c r="L78" i="1"/>
  <c r="K78" i="1"/>
  <c r="P77" i="1"/>
  <c r="O77" i="1"/>
  <c r="N77" i="1"/>
  <c r="M77" i="1"/>
  <c r="L77" i="1"/>
  <c r="K77" i="1"/>
  <c r="P76" i="1"/>
  <c r="O76" i="1"/>
  <c r="N76" i="1"/>
  <c r="M76" i="1"/>
  <c r="L76" i="1"/>
  <c r="K76" i="1"/>
  <c r="P75" i="1"/>
  <c r="O75" i="1"/>
  <c r="N75" i="1"/>
  <c r="M75" i="1"/>
  <c r="L75" i="1"/>
  <c r="K75" i="1"/>
  <c r="P74" i="1"/>
  <c r="O74" i="1"/>
  <c r="N74" i="1"/>
  <c r="M74" i="1"/>
  <c r="L74" i="1"/>
  <c r="K74" i="1"/>
  <c r="P73" i="1"/>
  <c r="O73" i="1"/>
  <c r="N73" i="1"/>
  <c r="M73" i="1"/>
  <c r="L73" i="1"/>
  <c r="K73" i="1"/>
  <c r="P72" i="1"/>
  <c r="O72" i="1"/>
  <c r="N72" i="1"/>
  <c r="M72" i="1"/>
  <c r="L72" i="1"/>
  <c r="K72" i="1"/>
  <c r="P71" i="1"/>
  <c r="O71" i="1"/>
  <c r="N71" i="1"/>
  <c r="M71" i="1"/>
  <c r="L71" i="1"/>
  <c r="K71" i="1"/>
  <c r="P70" i="1"/>
  <c r="O70" i="1"/>
  <c r="N70" i="1"/>
  <c r="M70" i="1"/>
  <c r="L70" i="1"/>
  <c r="K70" i="1"/>
  <c r="P69" i="1"/>
  <c r="O69" i="1"/>
  <c r="N69" i="1"/>
  <c r="M69" i="1"/>
  <c r="L69" i="1"/>
  <c r="K69" i="1"/>
  <c r="P68" i="1"/>
  <c r="O68" i="1"/>
  <c r="N68" i="1"/>
  <c r="M68" i="1"/>
  <c r="L68" i="1"/>
  <c r="K68" i="1"/>
  <c r="P67" i="1"/>
  <c r="O67" i="1"/>
  <c r="N67" i="1"/>
  <c r="M67" i="1"/>
  <c r="L67" i="1"/>
  <c r="K67" i="1"/>
  <c r="P66" i="1"/>
  <c r="O66" i="1"/>
  <c r="N66" i="1"/>
  <c r="M66" i="1"/>
  <c r="L66" i="1"/>
  <c r="K66" i="1"/>
  <c r="P65" i="1"/>
  <c r="O65" i="1"/>
  <c r="N65" i="1"/>
  <c r="M65" i="1"/>
  <c r="L65" i="1"/>
  <c r="K65" i="1"/>
  <c r="P64" i="1"/>
  <c r="O64" i="1"/>
  <c r="N64" i="1"/>
  <c r="M64" i="1"/>
  <c r="L64" i="1"/>
  <c r="K64" i="1"/>
  <c r="P63" i="1"/>
  <c r="O63" i="1"/>
  <c r="N63" i="1"/>
  <c r="M63" i="1"/>
  <c r="L63" i="1"/>
  <c r="K63" i="1"/>
  <c r="P62" i="1"/>
  <c r="O62" i="1"/>
  <c r="N62" i="1"/>
  <c r="M62" i="1"/>
  <c r="L62" i="1"/>
  <c r="K62" i="1"/>
  <c r="P61" i="1"/>
  <c r="O61" i="1"/>
  <c r="N61" i="1"/>
  <c r="M61" i="1"/>
  <c r="L61" i="1"/>
  <c r="K61" i="1"/>
  <c r="P60" i="1"/>
  <c r="O60" i="1"/>
  <c r="N60" i="1"/>
  <c r="M60" i="1"/>
  <c r="L60" i="1"/>
  <c r="K60" i="1"/>
  <c r="P59" i="1"/>
  <c r="O59" i="1"/>
  <c r="N59" i="1"/>
  <c r="M59" i="1"/>
  <c r="L59" i="1"/>
  <c r="K59" i="1"/>
  <c r="P58" i="1"/>
  <c r="O58" i="1"/>
  <c r="N58" i="1"/>
  <c r="M58" i="1"/>
  <c r="L58" i="1"/>
  <c r="K58" i="1"/>
  <c r="P57" i="1"/>
  <c r="O57" i="1"/>
  <c r="N57" i="1"/>
  <c r="M57" i="1"/>
  <c r="L57" i="1"/>
  <c r="K57" i="1"/>
  <c r="P56" i="1"/>
  <c r="O56" i="1"/>
  <c r="N56" i="1"/>
  <c r="M56" i="1"/>
  <c r="L56" i="1"/>
  <c r="K56" i="1"/>
  <c r="P55" i="1"/>
  <c r="O55" i="1"/>
  <c r="N55" i="1"/>
  <c r="M55" i="1"/>
  <c r="L55" i="1"/>
  <c r="K55" i="1"/>
  <c r="P54" i="1"/>
  <c r="O54" i="1"/>
  <c r="N54" i="1"/>
  <c r="M54" i="1"/>
  <c r="L54" i="1"/>
  <c r="K54" i="1"/>
  <c r="P53" i="1"/>
  <c r="O53" i="1"/>
  <c r="N53" i="1"/>
  <c r="M53" i="1"/>
  <c r="L53" i="1"/>
  <c r="K53" i="1"/>
  <c r="P52" i="1"/>
  <c r="O52" i="1"/>
  <c r="N52" i="1"/>
  <c r="M52" i="1"/>
  <c r="L52" i="1"/>
  <c r="K52" i="1"/>
  <c r="P51" i="1"/>
  <c r="O51" i="1"/>
  <c r="N51" i="1"/>
  <c r="M51" i="1"/>
  <c r="L51" i="1"/>
  <c r="K51" i="1"/>
  <c r="P50" i="1"/>
  <c r="O50" i="1"/>
  <c r="N50" i="1"/>
  <c r="M50" i="1"/>
  <c r="L50" i="1"/>
  <c r="K50" i="1"/>
  <c r="P49" i="1"/>
  <c r="O49" i="1"/>
  <c r="N49" i="1"/>
  <c r="M49" i="1"/>
  <c r="L49" i="1"/>
  <c r="K49" i="1"/>
  <c r="P48" i="1"/>
  <c r="O48" i="1"/>
  <c r="N48" i="1"/>
  <c r="M48" i="1"/>
  <c r="L48" i="1"/>
  <c r="K48" i="1"/>
  <c r="P47" i="1"/>
  <c r="O47" i="1"/>
  <c r="N47" i="1"/>
  <c r="M47" i="1"/>
  <c r="L47" i="1"/>
  <c r="K47" i="1"/>
  <c r="P46" i="1"/>
  <c r="O46" i="1"/>
  <c r="N46" i="1"/>
  <c r="M46" i="1"/>
  <c r="L46" i="1"/>
  <c r="K46" i="1"/>
  <c r="P45" i="1"/>
  <c r="O45" i="1"/>
  <c r="N45" i="1"/>
  <c r="M45" i="1"/>
  <c r="L45" i="1"/>
  <c r="K45" i="1"/>
  <c r="P44" i="1"/>
  <c r="O44" i="1"/>
  <c r="N44" i="1"/>
  <c r="M44" i="1"/>
  <c r="L44" i="1"/>
  <c r="K44" i="1"/>
  <c r="P43" i="1"/>
  <c r="O43" i="1"/>
  <c r="N43" i="1"/>
  <c r="M43" i="1"/>
  <c r="L43" i="1"/>
  <c r="K43" i="1"/>
  <c r="P42" i="1"/>
  <c r="O42" i="1"/>
  <c r="N42" i="1"/>
  <c r="M42" i="1"/>
  <c r="L42" i="1"/>
  <c r="K42" i="1"/>
  <c r="P41" i="1"/>
  <c r="O41" i="1"/>
  <c r="N41" i="1"/>
  <c r="M41" i="1"/>
  <c r="L41" i="1"/>
  <c r="K41" i="1"/>
  <c r="P40" i="1"/>
  <c r="O40" i="1"/>
  <c r="N40" i="1"/>
  <c r="M40" i="1"/>
  <c r="L40" i="1"/>
  <c r="K40" i="1"/>
  <c r="P39" i="1"/>
  <c r="O39" i="1"/>
  <c r="N39" i="1"/>
  <c r="M39" i="1"/>
  <c r="L39" i="1"/>
  <c r="K39" i="1"/>
  <c r="P38" i="1"/>
  <c r="O38" i="1"/>
  <c r="N38" i="1"/>
  <c r="M38" i="1"/>
  <c r="L38" i="1"/>
  <c r="K38" i="1"/>
  <c r="P37" i="1"/>
  <c r="O37" i="1"/>
  <c r="N37" i="1"/>
  <c r="M37" i="1"/>
  <c r="L37" i="1"/>
  <c r="K37" i="1"/>
  <c r="P36" i="1"/>
  <c r="O36" i="1"/>
  <c r="N36" i="1"/>
  <c r="M36" i="1"/>
  <c r="L36" i="1"/>
  <c r="K36" i="1"/>
  <c r="P35" i="1"/>
  <c r="O35" i="1"/>
  <c r="N35" i="1"/>
  <c r="M35" i="1"/>
  <c r="L35" i="1"/>
  <c r="K35" i="1"/>
  <c r="P34" i="1"/>
  <c r="O34" i="1"/>
  <c r="N34" i="1"/>
  <c r="M34" i="1"/>
  <c r="L34" i="1"/>
  <c r="K34" i="1"/>
  <c r="P33" i="1"/>
  <c r="O33" i="1"/>
  <c r="N33" i="1"/>
  <c r="M33" i="1"/>
  <c r="L33" i="1"/>
  <c r="K33" i="1"/>
  <c r="P32" i="1"/>
  <c r="O32" i="1"/>
  <c r="N32" i="1"/>
  <c r="M32" i="1"/>
  <c r="L32" i="1"/>
  <c r="K32" i="1"/>
  <c r="P31" i="1"/>
  <c r="O31" i="1"/>
  <c r="N31" i="1"/>
  <c r="M31" i="1"/>
  <c r="L31" i="1"/>
  <c r="K31" i="1"/>
  <c r="P30" i="1"/>
  <c r="O30" i="1"/>
  <c r="N30" i="1"/>
  <c r="M30" i="1"/>
  <c r="L30" i="1"/>
  <c r="K30" i="1"/>
  <c r="P29" i="1"/>
  <c r="O29" i="1"/>
  <c r="N29" i="1"/>
  <c r="M29" i="1"/>
  <c r="L29" i="1"/>
  <c r="K29" i="1"/>
  <c r="P28" i="1"/>
  <c r="O28" i="1"/>
  <c r="N28" i="1"/>
  <c r="M28" i="1"/>
  <c r="L28" i="1"/>
  <c r="K28" i="1"/>
  <c r="P27" i="1"/>
  <c r="O27" i="1"/>
  <c r="N27" i="1"/>
  <c r="M27" i="1"/>
  <c r="L27" i="1"/>
  <c r="K27" i="1"/>
  <c r="P26" i="1"/>
  <c r="O26" i="1"/>
  <c r="N26" i="1"/>
  <c r="M26" i="1"/>
  <c r="L26" i="1"/>
  <c r="K26" i="1"/>
  <c r="P25" i="1"/>
  <c r="O25" i="1"/>
  <c r="N25" i="1"/>
  <c r="M25" i="1"/>
  <c r="L25" i="1"/>
  <c r="K25" i="1"/>
  <c r="P24" i="1"/>
  <c r="O24" i="1"/>
  <c r="N24" i="1"/>
  <c r="M24" i="1"/>
  <c r="L24" i="1"/>
  <c r="K24" i="1"/>
  <c r="P23" i="1"/>
  <c r="O23" i="1"/>
  <c r="N23" i="1"/>
  <c r="M23" i="1"/>
  <c r="L23" i="1"/>
  <c r="K23" i="1"/>
  <c r="P22" i="1"/>
  <c r="O22" i="1"/>
  <c r="N22" i="1"/>
  <c r="M22" i="1"/>
  <c r="L22" i="1"/>
  <c r="K22" i="1"/>
  <c r="P21" i="1"/>
  <c r="O21" i="1"/>
  <c r="N21" i="1"/>
  <c r="M21" i="1"/>
  <c r="L21" i="1"/>
  <c r="K21" i="1"/>
  <c r="P20" i="1"/>
  <c r="O20" i="1"/>
  <c r="N20" i="1"/>
  <c r="M20" i="1"/>
  <c r="L20" i="1"/>
  <c r="K20" i="1"/>
  <c r="P19" i="1"/>
  <c r="O19" i="1"/>
  <c r="N19" i="1"/>
  <c r="M19" i="1"/>
  <c r="L19" i="1"/>
  <c r="K19" i="1"/>
  <c r="P18" i="1"/>
  <c r="O18" i="1"/>
  <c r="N18" i="1"/>
  <c r="M18" i="1"/>
  <c r="L18" i="1"/>
  <c r="K18" i="1"/>
  <c r="P17" i="1"/>
  <c r="O17" i="1"/>
  <c r="N17" i="1"/>
  <c r="M17" i="1"/>
  <c r="L17" i="1"/>
  <c r="K17" i="1"/>
  <c r="P16" i="1"/>
  <c r="O16" i="1"/>
  <c r="N16" i="1"/>
  <c r="M16" i="1"/>
  <c r="L16" i="1"/>
  <c r="K16" i="1"/>
  <c r="P15" i="1"/>
  <c r="O15" i="1"/>
  <c r="N15" i="1"/>
  <c r="M15" i="1"/>
  <c r="L15" i="1"/>
  <c r="K15" i="1"/>
  <c r="P14" i="1"/>
  <c r="O14" i="1"/>
  <c r="N14" i="1"/>
  <c r="M14" i="1"/>
  <c r="L14" i="1"/>
  <c r="K14" i="1"/>
  <c r="P13" i="1"/>
  <c r="O13" i="1"/>
  <c r="N13" i="1"/>
  <c r="M13" i="1"/>
  <c r="L13" i="1"/>
  <c r="K13" i="1"/>
  <c r="P12" i="1"/>
  <c r="O12" i="1"/>
  <c r="N12" i="1"/>
  <c r="M12" i="1"/>
  <c r="L12" i="1"/>
  <c r="K12" i="1"/>
  <c r="P11" i="1"/>
  <c r="O11" i="1"/>
  <c r="N11" i="1"/>
  <c r="M11" i="1"/>
  <c r="L11" i="1"/>
  <c r="K11" i="1"/>
  <c r="P10" i="1"/>
  <c r="O10" i="1"/>
  <c r="N10" i="1"/>
  <c r="M10" i="1"/>
  <c r="L10" i="1"/>
  <c r="K10" i="1"/>
  <c r="P9" i="1"/>
  <c r="O9" i="1"/>
  <c r="N9" i="1"/>
  <c r="M9" i="1"/>
  <c r="L9" i="1"/>
  <c r="K9" i="1"/>
  <c r="P8" i="1"/>
  <c r="O8" i="1"/>
  <c r="N8" i="1"/>
  <c r="M8" i="1"/>
  <c r="L8" i="1"/>
  <c r="K8" i="1"/>
  <c r="P7" i="1"/>
  <c r="O7" i="1"/>
  <c r="N7" i="1"/>
  <c r="M7" i="1"/>
  <c r="L7" i="1"/>
  <c r="K7" i="1"/>
  <c r="P6" i="1"/>
  <c r="O6" i="1"/>
  <c r="N6" i="1"/>
  <c r="M6" i="1"/>
  <c r="L6" i="1"/>
  <c r="K6" i="1"/>
  <c r="P5" i="1"/>
  <c r="O5" i="1"/>
  <c r="N5" i="1"/>
  <c r="M5" i="1"/>
  <c r="L5" i="1"/>
  <c r="K5" i="1"/>
  <c r="P4" i="1"/>
  <c r="O4" i="1"/>
  <c r="N4" i="1"/>
  <c r="M4" i="1"/>
  <c r="L4" i="1"/>
  <c r="K4" i="1"/>
  <c r="P3" i="1"/>
  <c r="O3" i="1"/>
  <c r="N3" i="1"/>
  <c r="M3" i="1"/>
  <c r="L3" i="1"/>
  <c r="K3" i="1"/>
  <c r="P2" i="1"/>
  <c r="O2" i="1"/>
  <c r="N2" i="1"/>
  <c r="M2" i="1"/>
  <c r="L2" i="1"/>
  <c r="K2" i="1"/>
  <c r="F73" i="13" l="1"/>
  <c r="H73" i="13"/>
  <c r="G73" i="13"/>
  <c r="H57" i="13"/>
  <c r="G57" i="13"/>
  <c r="F57" i="13"/>
  <c r="F45" i="7"/>
  <c r="J80" i="7"/>
  <c r="H110" i="7"/>
  <c r="J32" i="11"/>
  <c r="C61" i="11"/>
  <c r="N102" i="13"/>
  <c r="M102" i="13"/>
  <c r="G107" i="13"/>
  <c r="H107" i="13"/>
  <c r="F107" i="13"/>
  <c r="K111" i="13"/>
  <c r="L111" i="13"/>
  <c r="O120" i="13"/>
  <c r="J120" i="13"/>
  <c r="I120" i="13"/>
  <c r="L90" i="7"/>
  <c r="H90" i="7"/>
  <c r="D78" i="11"/>
  <c r="G95" i="11"/>
  <c r="F95" i="11"/>
  <c r="E95" i="11"/>
  <c r="D95" i="11"/>
  <c r="I95" i="11"/>
  <c r="G44" i="13"/>
  <c r="F44" i="13"/>
  <c r="H44" i="13"/>
  <c r="K102" i="13"/>
  <c r="I90" i="7"/>
  <c r="K90" i="7"/>
  <c r="F90" i="7"/>
  <c r="G90" i="7"/>
  <c r="L52" i="13"/>
  <c r="K52" i="13"/>
  <c r="K12" i="13"/>
  <c r="L12" i="13"/>
  <c r="L44" i="13"/>
  <c r="K44" i="13"/>
  <c r="K87" i="13"/>
  <c r="L87" i="13"/>
  <c r="L54" i="7"/>
  <c r="H54" i="7"/>
  <c r="L9" i="7"/>
  <c r="H9" i="7"/>
  <c r="L74" i="7"/>
  <c r="H74" i="7"/>
  <c r="I114" i="11"/>
  <c r="J36" i="13"/>
  <c r="O36" i="13"/>
  <c r="I36" i="13"/>
  <c r="L50" i="7"/>
  <c r="H50" i="7"/>
  <c r="I58" i="7"/>
  <c r="K58" i="7"/>
  <c r="H67" i="7"/>
  <c r="L99" i="11"/>
  <c r="K99" i="11"/>
  <c r="J99" i="11"/>
  <c r="H99" i="11"/>
  <c r="N36" i="13"/>
  <c r="M36" i="13"/>
  <c r="M59" i="13"/>
  <c r="N59" i="13"/>
  <c r="O107" i="13"/>
  <c r="J107" i="13"/>
  <c r="I107" i="13"/>
  <c r="H58" i="7"/>
  <c r="L58" i="7"/>
  <c r="N98" i="13"/>
  <c r="M98" i="13"/>
  <c r="I17" i="7"/>
  <c r="F17" i="7"/>
  <c r="K17" i="7"/>
  <c r="K81" i="7"/>
  <c r="I81" i="7"/>
  <c r="F81" i="7"/>
  <c r="H32" i="13"/>
  <c r="G32" i="13"/>
  <c r="F32" i="13"/>
  <c r="K76" i="7"/>
  <c r="G76" i="7"/>
  <c r="F76" i="7"/>
  <c r="C55" i="11"/>
  <c r="I15" i="7"/>
  <c r="K15" i="7"/>
  <c r="G15" i="7"/>
  <c r="F15" i="7"/>
  <c r="F36" i="7"/>
  <c r="L78" i="7"/>
  <c r="J78" i="7"/>
  <c r="H32" i="7"/>
  <c r="G36" i="7"/>
  <c r="L53" i="7"/>
  <c r="H53" i="7"/>
  <c r="F61" i="7"/>
  <c r="K61" i="7"/>
  <c r="K103" i="7"/>
  <c r="J18" i="11"/>
  <c r="G18" i="11"/>
  <c r="E18" i="11"/>
  <c r="M18" i="11"/>
  <c r="M23" i="13"/>
  <c r="J26" i="13"/>
  <c r="I26" i="13"/>
  <c r="O26" i="13"/>
  <c r="N44" i="13"/>
  <c r="M44" i="13"/>
  <c r="M32" i="11"/>
  <c r="L32" i="11"/>
  <c r="K32" i="11"/>
  <c r="I45" i="7"/>
  <c r="K45" i="7"/>
  <c r="L117" i="7"/>
  <c r="H117" i="7"/>
  <c r="G74" i="11"/>
  <c r="K119" i="11"/>
  <c r="D119" i="11"/>
  <c r="H29" i="13"/>
  <c r="G29" i="13"/>
  <c r="F29" i="13"/>
  <c r="L68" i="13"/>
  <c r="K68" i="13"/>
  <c r="L36" i="13"/>
  <c r="K36" i="13"/>
  <c r="H102" i="13"/>
  <c r="G102" i="13"/>
  <c r="F102" i="13"/>
  <c r="F29" i="7"/>
  <c r="I29" i="7"/>
  <c r="K29" i="7"/>
  <c r="I32" i="11"/>
  <c r="H25" i="13"/>
  <c r="G25" i="13"/>
  <c r="I55" i="11"/>
  <c r="H55" i="11"/>
  <c r="F55" i="11"/>
  <c r="H63" i="7"/>
  <c r="L63" i="7"/>
  <c r="G58" i="7"/>
  <c r="L81" i="7"/>
  <c r="H81" i="7"/>
  <c r="K6" i="7"/>
  <c r="F6" i="7"/>
  <c r="I36" i="7"/>
  <c r="H56" i="7"/>
  <c r="L56" i="7"/>
  <c r="H98" i="7"/>
  <c r="L98" i="7"/>
  <c r="C18" i="11"/>
  <c r="L55" i="11"/>
  <c r="O49" i="13"/>
  <c r="I49" i="13"/>
  <c r="J49" i="13"/>
  <c r="L74" i="11"/>
  <c r="F74" i="11"/>
  <c r="E74" i="11"/>
  <c r="D74" i="11"/>
  <c r="H6" i="11"/>
  <c r="G6" i="11"/>
  <c r="M6" i="11"/>
  <c r="L6" i="11"/>
  <c r="I6" i="11"/>
  <c r="F6" i="11"/>
  <c r="E6" i="11"/>
  <c r="K6" i="11"/>
  <c r="I74" i="11"/>
  <c r="N52" i="13"/>
  <c r="M52" i="13"/>
  <c r="N100" i="13"/>
  <c r="H10" i="7"/>
  <c r="L10" i="7"/>
  <c r="J55" i="11"/>
  <c r="C95" i="11"/>
  <c r="H76" i="7"/>
  <c r="I79" i="7"/>
  <c r="K79" i="7"/>
  <c r="F79" i="7"/>
  <c r="M55" i="11"/>
  <c r="L19" i="13"/>
  <c r="K19" i="13"/>
  <c r="H77" i="13"/>
  <c r="G77" i="13"/>
  <c r="F77" i="13"/>
  <c r="L90" i="13"/>
  <c r="K90" i="13"/>
  <c r="I117" i="7"/>
  <c r="K117" i="7"/>
  <c r="G117" i="7"/>
  <c r="F117" i="7"/>
  <c r="E32" i="11"/>
  <c r="C6" i="11"/>
  <c r="G17" i="7"/>
  <c r="F58" i="7"/>
  <c r="G81" i="7"/>
  <c r="C28" i="5"/>
  <c r="G3" i="7"/>
  <c r="G54" i="7"/>
  <c r="F54" i="7"/>
  <c r="L71" i="7"/>
  <c r="I76" i="7"/>
  <c r="H121" i="7"/>
  <c r="L121" i="7"/>
  <c r="I77" i="11"/>
  <c r="H77" i="11"/>
  <c r="F77" i="11"/>
  <c r="D77" i="11"/>
  <c r="N6" i="13"/>
  <c r="M6" i="13"/>
  <c r="O13" i="13"/>
  <c r="J13" i="13"/>
  <c r="I13" i="13"/>
  <c r="I31" i="7"/>
  <c r="K31" i="7"/>
  <c r="G31" i="7"/>
  <c r="F31" i="7"/>
  <c r="F110" i="7"/>
  <c r="K110" i="7"/>
  <c r="I110" i="7"/>
  <c r="C74" i="11"/>
  <c r="K78" i="11"/>
  <c r="F78" i="11"/>
  <c r="G78" i="11"/>
  <c r="E78" i="11"/>
  <c r="O113" i="13"/>
  <c r="J113" i="13"/>
  <c r="I113" i="13"/>
  <c r="G32" i="11"/>
  <c r="L31" i="13"/>
  <c r="K31" i="13"/>
  <c r="F113" i="13"/>
  <c r="H113" i="13"/>
  <c r="D6" i="11"/>
  <c r="H26" i="7"/>
  <c r="L26" i="7"/>
  <c r="I108" i="7"/>
  <c r="K108" i="7"/>
  <c r="G108" i="7"/>
  <c r="F108" i="7"/>
  <c r="G19" i="7"/>
  <c r="K16" i="13"/>
  <c r="L16" i="13"/>
  <c r="K28" i="7"/>
  <c r="I28" i="7"/>
  <c r="G28" i="7"/>
  <c r="I74" i="7"/>
  <c r="K74" i="7"/>
  <c r="G74" i="7"/>
  <c r="F74" i="7"/>
  <c r="L39" i="11"/>
  <c r="K39" i="11"/>
  <c r="H39" i="11"/>
  <c r="F39" i="11"/>
  <c r="G39" i="11"/>
  <c r="J77" i="11"/>
  <c r="I118" i="11"/>
  <c r="G118" i="11"/>
  <c r="F118" i="11"/>
  <c r="E118" i="11"/>
  <c r="M118" i="11"/>
  <c r="L118" i="11"/>
  <c r="J4" i="13"/>
  <c r="O4" i="13"/>
  <c r="L8" i="13"/>
  <c r="K8" i="13"/>
  <c r="L10" i="13"/>
  <c r="K10" i="13"/>
  <c r="F82" i="13"/>
  <c r="G82" i="13"/>
  <c r="H82" i="13"/>
  <c r="L84" i="13"/>
  <c r="K84" i="13"/>
  <c r="L88" i="13"/>
  <c r="K88" i="13"/>
  <c r="K88" i="7"/>
  <c r="I88" i="7"/>
  <c r="F88" i="7"/>
  <c r="L4" i="11"/>
  <c r="J4" i="11"/>
  <c r="I4" i="11"/>
  <c r="M4" i="11"/>
  <c r="G4" i="11"/>
  <c r="F4" i="11"/>
  <c r="E4" i="11"/>
  <c r="K89" i="11"/>
  <c r="M89" i="11"/>
  <c r="L89" i="11"/>
  <c r="J89" i="11"/>
  <c r="I89" i="11"/>
  <c r="G89" i="11"/>
  <c r="E89" i="11"/>
  <c r="F89" i="11"/>
  <c r="L21" i="13"/>
  <c r="K21" i="13"/>
  <c r="K32" i="13"/>
  <c r="L32" i="13"/>
  <c r="I80" i="13"/>
  <c r="J80" i="13"/>
  <c r="G79" i="7"/>
  <c r="C4" i="11"/>
  <c r="H11" i="11"/>
  <c r="G11" i="11"/>
  <c r="M11" i="11"/>
  <c r="L11" i="11"/>
  <c r="C44" i="11"/>
  <c r="C89" i="11"/>
  <c r="N32" i="13"/>
  <c r="M32" i="13"/>
  <c r="L49" i="13"/>
  <c r="K49" i="13"/>
  <c r="J51" i="13"/>
  <c r="I51" i="13"/>
  <c r="O51" i="13"/>
  <c r="H69" i="13"/>
  <c r="F69" i="13"/>
  <c r="L78" i="13"/>
  <c r="K78" i="13"/>
  <c r="H80" i="13"/>
  <c r="G80" i="13"/>
  <c r="F80" i="13"/>
  <c r="J118" i="13"/>
  <c r="I118" i="13"/>
  <c r="O118" i="13"/>
  <c r="I35" i="7"/>
  <c r="K35" i="7"/>
  <c r="K70" i="7"/>
  <c r="I70" i="7"/>
  <c r="F70" i="7"/>
  <c r="K104" i="7"/>
  <c r="I104" i="7"/>
  <c r="L106" i="7"/>
  <c r="D4" i="11"/>
  <c r="C11" i="11"/>
  <c r="E44" i="11"/>
  <c r="K49" i="11"/>
  <c r="J49" i="11"/>
  <c r="M49" i="11"/>
  <c r="M63" i="11"/>
  <c r="L63" i="11"/>
  <c r="K63" i="11"/>
  <c r="J63" i="11"/>
  <c r="I79" i="11"/>
  <c r="H79" i="11"/>
  <c r="F86" i="11"/>
  <c r="E86" i="11"/>
  <c r="D86" i="11"/>
  <c r="C86" i="11"/>
  <c r="M86" i="11"/>
  <c r="K86" i="11"/>
  <c r="L86" i="11"/>
  <c r="D89" i="11"/>
  <c r="H109" i="11"/>
  <c r="F109" i="11"/>
  <c r="E109" i="11"/>
  <c r="D109" i="11"/>
  <c r="M109" i="11"/>
  <c r="L109" i="11"/>
  <c r="F51" i="13"/>
  <c r="M51" i="13"/>
  <c r="O67" i="13"/>
  <c r="J67" i="13"/>
  <c r="I67" i="13"/>
  <c r="L69" i="13"/>
  <c r="K69" i="13"/>
  <c r="M78" i="13"/>
  <c r="G95" i="13"/>
  <c r="H95" i="13"/>
  <c r="J97" i="13"/>
  <c r="I97" i="13"/>
  <c r="O97" i="13"/>
  <c r="L101" i="13"/>
  <c r="K101" i="13"/>
  <c r="N114" i="13"/>
  <c r="M114" i="13"/>
  <c r="H118" i="13"/>
  <c r="G118" i="13"/>
  <c r="F118" i="13"/>
  <c r="H13" i="7"/>
  <c r="H29" i="7"/>
  <c r="L39" i="7"/>
  <c r="H48" i="7"/>
  <c r="L94" i="7"/>
  <c r="G104" i="7"/>
  <c r="H4" i="11"/>
  <c r="C7" i="11"/>
  <c r="D11" i="11"/>
  <c r="J23" i="11"/>
  <c r="I23" i="11"/>
  <c r="G33" i="11"/>
  <c r="F44" i="11"/>
  <c r="H49" i="11"/>
  <c r="C63" i="11"/>
  <c r="G71" i="11"/>
  <c r="L71" i="11"/>
  <c r="J71" i="11"/>
  <c r="G86" i="11"/>
  <c r="H89" i="11"/>
  <c r="C109" i="11"/>
  <c r="J35" i="13"/>
  <c r="I35" i="13"/>
  <c r="L95" i="13"/>
  <c r="K95" i="13"/>
  <c r="G88" i="7"/>
  <c r="F99" i="7"/>
  <c r="K4" i="11"/>
  <c r="M30" i="11"/>
  <c r="E30" i="11"/>
  <c r="C30" i="11"/>
  <c r="D30" i="11"/>
  <c r="L47" i="13"/>
  <c r="K47" i="13"/>
  <c r="O63" i="13"/>
  <c r="J63" i="13"/>
  <c r="I63" i="13"/>
  <c r="I121" i="13"/>
  <c r="J121" i="13"/>
  <c r="H30" i="11"/>
  <c r="I44" i="11"/>
  <c r="H11" i="13"/>
  <c r="F63" i="13"/>
  <c r="H63" i="13"/>
  <c r="G63" i="13"/>
  <c r="G69" i="13"/>
  <c r="G78" i="13"/>
  <c r="O80" i="13"/>
  <c r="M91" i="13"/>
  <c r="N91" i="13"/>
  <c r="L110" i="13"/>
  <c r="K110" i="13"/>
  <c r="I2" i="7"/>
  <c r="F35" i="7"/>
  <c r="H44" i="7"/>
  <c r="I55" i="7"/>
  <c r="F55" i="7"/>
  <c r="F66" i="7"/>
  <c r="G70" i="7"/>
  <c r="F104" i="7"/>
  <c r="I30" i="11"/>
  <c r="F63" i="11"/>
  <c r="N116" i="13"/>
  <c r="G66" i="7"/>
  <c r="H70" i="7"/>
  <c r="L77" i="7"/>
  <c r="F80" i="7"/>
  <c r="K80" i="7"/>
  <c r="G120" i="7"/>
  <c r="H7" i="11"/>
  <c r="C17" i="11"/>
  <c r="M17" i="11"/>
  <c r="G17" i="11"/>
  <c r="F17" i="11"/>
  <c r="E17" i="11"/>
  <c r="H23" i="11"/>
  <c r="E60" i="11"/>
  <c r="G63" i="11"/>
  <c r="K110" i="11"/>
  <c r="I110" i="11"/>
  <c r="H110" i="11"/>
  <c r="L7" i="13"/>
  <c r="J12" i="13"/>
  <c r="I12" i="13"/>
  <c r="O12" i="13"/>
  <c r="O16" i="13"/>
  <c r="J16" i="13"/>
  <c r="H43" i="13"/>
  <c r="F47" i="13"/>
  <c r="M53" i="13"/>
  <c r="G61" i="13"/>
  <c r="H61" i="13"/>
  <c r="F61" i="13"/>
  <c r="O75" i="13"/>
  <c r="J75" i="13"/>
  <c r="I75" i="13"/>
  <c r="L97" i="13"/>
  <c r="K114" i="13"/>
  <c r="I117" i="13"/>
  <c r="J117" i="13"/>
  <c r="L66" i="7"/>
  <c r="H66" i="7"/>
  <c r="H44" i="11"/>
  <c r="M84" i="11"/>
  <c r="K84" i="11"/>
  <c r="J84" i="11"/>
  <c r="G11" i="13"/>
  <c r="F78" i="13"/>
  <c r="M118" i="13"/>
  <c r="N118" i="13"/>
  <c r="L25" i="7"/>
  <c r="L79" i="7"/>
  <c r="I102" i="7"/>
  <c r="K102" i="7"/>
  <c r="F102" i="7"/>
  <c r="F11" i="11"/>
  <c r="L69" i="11"/>
  <c r="D84" i="11"/>
  <c r="G102" i="7"/>
  <c r="G7" i="11"/>
  <c r="K11" i="11"/>
  <c r="C60" i="11"/>
  <c r="M69" i="11"/>
  <c r="E84" i="11"/>
  <c r="J86" i="11"/>
  <c r="G104" i="11"/>
  <c r="M104" i="11"/>
  <c r="G43" i="13"/>
  <c r="O61" i="13"/>
  <c r="J61" i="13"/>
  <c r="F95" i="13"/>
  <c r="G35" i="7"/>
  <c r="K2" i="7"/>
  <c r="L23" i="7"/>
  <c r="G38" i="7"/>
  <c r="I47" i="7"/>
  <c r="K47" i="7"/>
  <c r="I60" i="7"/>
  <c r="K60" i="7"/>
  <c r="L64" i="7"/>
  <c r="L82" i="7"/>
  <c r="L93" i="7"/>
  <c r="L118" i="7"/>
  <c r="I7" i="11"/>
  <c r="H17" i="11"/>
  <c r="K23" i="11"/>
  <c r="K35" i="11"/>
  <c r="H63" i="11"/>
  <c r="G84" i="11"/>
  <c r="E104" i="11"/>
  <c r="E110" i="11"/>
  <c r="O29" i="13"/>
  <c r="J29" i="13"/>
  <c r="L37" i="13"/>
  <c r="L39" i="13"/>
  <c r="H47" i="13"/>
  <c r="K61" i="13"/>
  <c r="L61" i="13"/>
  <c r="I85" i="13"/>
  <c r="O85" i="13"/>
  <c r="L91" i="13"/>
  <c r="G119" i="13"/>
  <c r="F119" i="13"/>
  <c r="H43" i="11"/>
  <c r="E43" i="11"/>
  <c r="D43" i="11"/>
  <c r="M59" i="11"/>
  <c r="L59" i="11"/>
  <c r="J18" i="13"/>
  <c r="I18" i="13"/>
  <c r="I53" i="13"/>
  <c r="O53" i="13"/>
  <c r="C11" i="16"/>
  <c r="M22" i="11"/>
  <c r="L22" i="11"/>
  <c r="C43" i="11"/>
  <c r="E59" i="11"/>
  <c r="K62" i="11"/>
  <c r="I62" i="11"/>
  <c r="H62" i="11"/>
  <c r="H76" i="11"/>
  <c r="C85" i="11"/>
  <c r="J107" i="11"/>
  <c r="I107" i="11"/>
  <c r="D107" i="11"/>
  <c r="C107" i="11"/>
  <c r="E121" i="11"/>
  <c r="J31" i="13"/>
  <c r="I31" i="13"/>
  <c r="J90" i="13"/>
  <c r="O90" i="13"/>
  <c r="J82" i="11"/>
  <c r="H82" i="11"/>
  <c r="G82" i="11"/>
  <c r="E82" i="11"/>
  <c r="K101" i="11"/>
  <c r="J101" i="11"/>
  <c r="D116" i="11"/>
  <c r="J116" i="11"/>
  <c r="I116" i="11"/>
  <c r="H116" i="11"/>
  <c r="G116" i="11"/>
  <c r="M80" i="13"/>
  <c r="L113" i="13"/>
  <c r="K113" i="13"/>
  <c r="L28" i="7"/>
  <c r="C22" i="11"/>
  <c r="G38" i="11"/>
  <c r="F38" i="11"/>
  <c r="F43" i="11"/>
  <c r="C52" i="11"/>
  <c r="F59" i="11"/>
  <c r="D62" i="11"/>
  <c r="I76" i="11"/>
  <c r="D82" i="11"/>
  <c r="E85" i="11"/>
  <c r="D101" i="11"/>
  <c r="K107" i="11"/>
  <c r="C112" i="11"/>
  <c r="E116" i="11"/>
  <c r="G121" i="11"/>
  <c r="F7" i="13"/>
  <c r="H7" i="13"/>
  <c r="G7" i="13"/>
  <c r="N24" i="13"/>
  <c r="O43" i="13"/>
  <c r="J43" i="13"/>
  <c r="K59" i="13"/>
  <c r="L59" i="13"/>
  <c r="N80" i="13"/>
  <c r="J103" i="13"/>
  <c r="I103" i="13"/>
  <c r="G105" i="13"/>
  <c r="H105" i="13"/>
  <c r="F105" i="13"/>
  <c r="O119" i="13"/>
  <c r="J119" i="13"/>
  <c r="J15" i="13"/>
  <c r="I15" i="13"/>
  <c r="N90" i="13"/>
  <c r="M90" i="13"/>
  <c r="K103" i="13"/>
  <c r="L103" i="13"/>
  <c r="K119" i="13"/>
  <c r="L119" i="13"/>
  <c r="F12" i="7"/>
  <c r="I26" i="7"/>
  <c r="I37" i="7"/>
  <c r="F57" i="7"/>
  <c r="F63" i="7"/>
  <c r="G82" i="7"/>
  <c r="E3" i="11"/>
  <c r="D3" i="11"/>
  <c r="F22" i="11"/>
  <c r="J43" i="11"/>
  <c r="F52" i="11"/>
  <c r="J59" i="11"/>
  <c r="L62" i="11"/>
  <c r="L76" i="11"/>
  <c r="I85" i="11"/>
  <c r="G101" i="11"/>
  <c r="L116" i="11"/>
  <c r="J121" i="11"/>
  <c r="L3" i="13"/>
  <c r="K3" i="13"/>
  <c r="J28" i="13"/>
  <c r="I28" i="13"/>
  <c r="N43" i="13"/>
  <c r="M43" i="13"/>
  <c r="H46" i="13"/>
  <c r="G46" i="13"/>
  <c r="F46" i="13"/>
  <c r="F59" i="13"/>
  <c r="M69" i="13"/>
  <c r="N88" i="13"/>
  <c r="M103" i="13"/>
  <c r="N119" i="13"/>
  <c r="M119" i="13"/>
  <c r="L2" i="7"/>
  <c r="L22" i="7"/>
  <c r="L35" i="7"/>
  <c r="I53" i="7"/>
  <c r="G57" i="7"/>
  <c r="G63" i="7"/>
  <c r="I82" i="7"/>
  <c r="L105" i="7"/>
  <c r="L120" i="7"/>
  <c r="F3" i="11"/>
  <c r="D9" i="11"/>
  <c r="E13" i="11"/>
  <c r="D19" i="11"/>
  <c r="G22" i="11"/>
  <c r="K43" i="11"/>
  <c r="G52" i="11"/>
  <c r="K59" i="11"/>
  <c r="M62" i="11"/>
  <c r="M76" i="11"/>
  <c r="J85" i="11"/>
  <c r="I88" i="11"/>
  <c r="G88" i="11"/>
  <c r="F88" i="11"/>
  <c r="E88" i="11"/>
  <c r="H101" i="11"/>
  <c r="M116" i="11"/>
  <c r="K121" i="11"/>
  <c r="N3" i="13"/>
  <c r="M3" i="13"/>
  <c r="I7" i="13"/>
  <c r="L15" i="13"/>
  <c r="K15" i="13"/>
  <c r="M16" i="13"/>
  <c r="O18" i="13"/>
  <c r="I20" i="13"/>
  <c r="K24" i="13"/>
  <c r="K26" i="13"/>
  <c r="O31" i="13"/>
  <c r="J37" i="13"/>
  <c r="J53" i="13"/>
  <c r="G59" i="13"/>
  <c r="K73" i="13"/>
  <c r="N77" i="13"/>
  <c r="L83" i="13"/>
  <c r="K83" i="13"/>
  <c r="F86" i="13"/>
  <c r="H86" i="13"/>
  <c r="O100" i="13"/>
  <c r="J100" i="13"/>
  <c r="J110" i="13"/>
  <c r="O110" i="13"/>
  <c r="I110" i="13"/>
  <c r="I114" i="13"/>
  <c r="O114" i="13"/>
  <c r="L18" i="7"/>
  <c r="L45" i="7"/>
  <c r="L114" i="7"/>
  <c r="G3" i="11"/>
  <c r="E9" i="11"/>
  <c r="F13" i="11"/>
  <c r="H22" i="11"/>
  <c r="L27" i="11"/>
  <c r="H27" i="11"/>
  <c r="L43" i="11"/>
  <c r="D88" i="11"/>
  <c r="I101" i="11"/>
  <c r="L113" i="11"/>
  <c r="K113" i="11"/>
  <c r="H113" i="11"/>
  <c r="D113" i="11"/>
  <c r="J120" i="11"/>
  <c r="I120" i="11"/>
  <c r="H120" i="11"/>
  <c r="G120" i="11"/>
  <c r="J25" i="13"/>
  <c r="I25" i="13"/>
  <c r="K28" i="13"/>
  <c r="L28" i="13"/>
  <c r="I32" i="13"/>
  <c r="O32" i="13"/>
  <c r="L48" i="13"/>
  <c r="H58" i="13"/>
  <c r="G58" i="13"/>
  <c r="F58" i="13"/>
  <c r="O72" i="13"/>
  <c r="I72" i="13"/>
  <c r="J77" i="13"/>
  <c r="K86" i="13"/>
  <c r="L86" i="13"/>
  <c r="H90" i="13"/>
  <c r="H94" i="13"/>
  <c r="M108" i="13"/>
  <c r="H112" i="13"/>
  <c r="G112" i="13"/>
  <c r="F112" i="13"/>
  <c r="N112" i="13"/>
  <c r="D103" i="11"/>
  <c r="C70" i="11"/>
  <c r="G103" i="11"/>
  <c r="C111" i="11"/>
  <c r="N72" i="13"/>
  <c r="M76" i="13"/>
  <c r="G87" i="7"/>
  <c r="J20" i="11"/>
  <c r="L31" i="11"/>
  <c r="J75" i="11"/>
  <c r="N42" i="13"/>
  <c r="M45" i="13"/>
  <c r="B12" i="17"/>
  <c r="B11" i="16"/>
  <c r="G2" i="7"/>
  <c r="C15" i="11"/>
  <c r="J115" i="11"/>
  <c r="I57" i="13"/>
  <c r="O57" i="13"/>
  <c r="J57" i="13"/>
  <c r="F13" i="7"/>
  <c r="I13" i="7"/>
  <c r="G13" i="7"/>
  <c r="G8" i="13"/>
  <c r="H8" i="13"/>
  <c r="F8" i="13"/>
  <c r="M8" i="13"/>
  <c r="F37" i="13"/>
  <c r="H37" i="13"/>
  <c r="M37" i="13"/>
  <c r="G37" i="13"/>
  <c r="G87" i="13"/>
  <c r="F87" i="13"/>
  <c r="H87" i="13"/>
  <c r="G22" i="7"/>
  <c r="F22" i="7"/>
  <c r="K22" i="7"/>
  <c r="H36" i="7"/>
  <c r="L36" i="7"/>
  <c r="H52" i="7"/>
  <c r="F73" i="7"/>
  <c r="K73" i="7"/>
  <c r="H40" i="11"/>
  <c r="F40" i="11"/>
  <c r="I40" i="11"/>
  <c r="G40" i="11"/>
  <c r="L40" i="11"/>
  <c r="K40" i="11"/>
  <c r="C40" i="11"/>
  <c r="J40" i="11"/>
  <c r="E40" i="11"/>
  <c r="D40" i="11"/>
  <c r="J3" i="13"/>
  <c r="O3" i="13"/>
  <c r="I3" i="13"/>
  <c r="M47" i="13"/>
  <c r="N47" i="13"/>
  <c r="K57" i="13"/>
  <c r="L57" i="13"/>
  <c r="L62" i="13"/>
  <c r="K62" i="13"/>
  <c r="H47" i="7"/>
  <c r="K109" i="7"/>
  <c r="I109" i="7"/>
  <c r="G109" i="7"/>
  <c r="I5" i="13"/>
  <c r="J5" i="13"/>
  <c r="O5" i="13"/>
  <c r="M29" i="13"/>
  <c r="N29" i="13"/>
  <c r="G49" i="13"/>
  <c r="F49" i="13"/>
  <c r="H49" i="13"/>
  <c r="F60" i="13"/>
  <c r="L62" i="7"/>
  <c r="H62" i="7"/>
  <c r="C105" i="11"/>
  <c r="H5" i="13"/>
  <c r="G5" i="13"/>
  <c r="F5" i="13"/>
  <c r="J23" i="13"/>
  <c r="O23" i="13"/>
  <c r="M41" i="13"/>
  <c r="N41" i="13"/>
  <c r="K43" i="13"/>
  <c r="L43" i="13"/>
  <c r="G60" i="13"/>
  <c r="F33" i="7"/>
  <c r="I33" i="7"/>
  <c r="K33" i="7"/>
  <c r="H24" i="11"/>
  <c r="K24" i="11"/>
  <c r="I24" i="11"/>
  <c r="G24" i="11"/>
  <c r="L24" i="11"/>
  <c r="F24" i="11"/>
  <c r="J24" i="11"/>
  <c r="K5" i="13"/>
  <c r="L5" i="13"/>
  <c r="N49" i="13"/>
  <c r="M49" i="13"/>
  <c r="F90" i="11"/>
  <c r="L90" i="11"/>
  <c r="I90" i="11"/>
  <c r="H90" i="11"/>
  <c r="M90" i="11"/>
  <c r="H31" i="13"/>
  <c r="M31" i="13"/>
  <c r="F31" i="13"/>
  <c r="G55" i="13"/>
  <c r="F55" i="13"/>
  <c r="H55" i="13"/>
  <c r="K13" i="7"/>
  <c r="H56" i="11"/>
  <c r="I56" i="11"/>
  <c r="L56" i="11"/>
  <c r="D56" i="11"/>
  <c r="C56" i="11"/>
  <c r="M56" i="11"/>
  <c r="K56" i="11"/>
  <c r="J56" i="11"/>
  <c r="F64" i="11"/>
  <c r="M64" i="11"/>
  <c r="L64" i="11"/>
  <c r="I64" i="11"/>
  <c r="H64" i="11"/>
  <c r="G64" i="11"/>
  <c r="H6" i="7"/>
  <c r="K68" i="7"/>
  <c r="I68" i="7"/>
  <c r="E56" i="11"/>
  <c r="C87" i="11"/>
  <c r="D90" i="11"/>
  <c r="H94" i="11"/>
  <c r="C100" i="11"/>
  <c r="M21" i="13"/>
  <c r="O116" i="13"/>
  <c r="I116" i="13"/>
  <c r="J116" i="13"/>
  <c r="H4" i="7"/>
  <c r="H84" i="7"/>
  <c r="C21" i="11"/>
  <c r="M24" i="11"/>
  <c r="E34" i="11"/>
  <c r="I51" i="11"/>
  <c r="F51" i="11"/>
  <c r="E51" i="11"/>
  <c r="L51" i="11"/>
  <c r="M51" i="11"/>
  <c r="D87" i="11"/>
  <c r="E90" i="11"/>
  <c r="I94" i="11"/>
  <c r="I17" i="13"/>
  <c r="O17" i="13"/>
  <c r="N20" i="13"/>
  <c r="M20" i="13"/>
  <c r="H116" i="13"/>
  <c r="M116" i="13"/>
  <c r="I67" i="7"/>
  <c r="F67" i="7"/>
  <c r="K67" i="7"/>
  <c r="G67" i="7"/>
  <c r="N54" i="13"/>
  <c r="M54" i="13"/>
  <c r="L60" i="13"/>
  <c r="K60" i="13"/>
  <c r="I62" i="13"/>
  <c r="J62" i="13"/>
  <c r="O62" i="13"/>
  <c r="M70" i="13"/>
  <c r="N70" i="13"/>
  <c r="J87" i="13"/>
  <c r="O87" i="13"/>
  <c r="I87" i="13"/>
  <c r="D12" i="11"/>
  <c r="M12" i="11"/>
  <c r="I12" i="11"/>
  <c r="H12" i="11"/>
  <c r="L12" i="11"/>
  <c r="F12" i="11"/>
  <c r="K12" i="11"/>
  <c r="E12" i="11"/>
  <c r="J12" i="11"/>
  <c r="G12" i="11"/>
  <c r="N60" i="13"/>
  <c r="M60" i="13"/>
  <c r="C8" i="15"/>
  <c r="I62" i="7"/>
  <c r="K62" i="7"/>
  <c r="D28" i="11"/>
  <c r="I28" i="11"/>
  <c r="M28" i="11"/>
  <c r="L28" i="11"/>
  <c r="K28" i="11"/>
  <c r="G45" i="11"/>
  <c r="L45" i="11"/>
  <c r="M45" i="11"/>
  <c r="K45" i="11"/>
  <c r="J45" i="11"/>
  <c r="I45" i="11"/>
  <c r="L49" i="7"/>
  <c r="H49" i="7"/>
  <c r="K96" i="7"/>
  <c r="I96" i="7"/>
  <c r="F96" i="7"/>
  <c r="G96" i="7"/>
  <c r="J105" i="7"/>
  <c r="D45" i="11"/>
  <c r="L20" i="7"/>
  <c r="I89" i="7"/>
  <c r="K89" i="7"/>
  <c r="G89" i="7"/>
  <c r="O95" i="13"/>
  <c r="I95" i="13"/>
  <c r="I22" i="7"/>
  <c r="L31" i="7"/>
  <c r="G94" i="7"/>
  <c r="C34" i="11"/>
  <c r="L100" i="11"/>
  <c r="K100" i="11"/>
  <c r="H100" i="11"/>
  <c r="G100" i="11"/>
  <c r="M100" i="11"/>
  <c r="I100" i="11"/>
  <c r="F100" i="11"/>
  <c r="J100" i="11"/>
  <c r="E100" i="11"/>
  <c r="M25" i="13"/>
  <c r="N25" i="13"/>
  <c r="L8" i="7"/>
  <c r="H8" i="7"/>
  <c r="H17" i="7"/>
  <c r="L17" i="7"/>
  <c r="L109" i="7"/>
  <c r="E24" i="11"/>
  <c r="D92" i="11"/>
  <c r="M92" i="11"/>
  <c r="C92" i="11"/>
  <c r="J92" i="11"/>
  <c r="I92" i="11"/>
  <c r="H92" i="11"/>
  <c r="L92" i="11"/>
  <c r="K92" i="11"/>
  <c r="C97" i="11"/>
  <c r="K97" i="11"/>
  <c r="M97" i="11"/>
  <c r="L97" i="11"/>
  <c r="H97" i="11"/>
  <c r="G97" i="11"/>
  <c r="F97" i="11"/>
  <c r="H30" i="7"/>
  <c r="L30" i="7"/>
  <c r="G33" i="7"/>
  <c r="L46" i="7"/>
  <c r="H46" i="7"/>
  <c r="F56" i="11"/>
  <c r="D64" i="11"/>
  <c r="E92" i="11"/>
  <c r="I14" i="7"/>
  <c r="K14" i="7"/>
  <c r="K44" i="7"/>
  <c r="I59" i="7"/>
  <c r="K59" i="7"/>
  <c r="F59" i="7"/>
  <c r="G59" i="7"/>
  <c r="L68" i="7"/>
  <c r="H71" i="7"/>
  <c r="I84" i="7"/>
  <c r="G86" i="7"/>
  <c r="I86" i="7"/>
  <c r="F86" i="7"/>
  <c r="K86" i="7"/>
  <c r="F89" i="7"/>
  <c r="I97" i="7"/>
  <c r="G97" i="7"/>
  <c r="F97" i="7"/>
  <c r="L115" i="7"/>
  <c r="H8" i="11"/>
  <c r="E8" i="11"/>
  <c r="D8" i="11"/>
  <c r="K8" i="11"/>
  <c r="I8" i="11"/>
  <c r="J8" i="11"/>
  <c r="G34" i="11"/>
  <c r="E42" i="11"/>
  <c r="L42" i="11"/>
  <c r="K42" i="11"/>
  <c r="J42" i="11"/>
  <c r="M42" i="11"/>
  <c r="G42" i="11"/>
  <c r="F42" i="11"/>
  <c r="I42" i="11"/>
  <c r="H42" i="11"/>
  <c r="C51" i="11"/>
  <c r="G56" i="11"/>
  <c r="G61" i="11"/>
  <c r="K61" i="11"/>
  <c r="J61" i="11"/>
  <c r="I61" i="11"/>
  <c r="H61" i="11"/>
  <c r="M61" i="11"/>
  <c r="E64" i="11"/>
  <c r="G90" i="11"/>
  <c r="F92" i="11"/>
  <c r="E97" i="11"/>
  <c r="L14" i="13"/>
  <c r="K14" i="13"/>
  <c r="I23" i="13"/>
  <c r="G31" i="13"/>
  <c r="L116" i="13"/>
  <c r="K116" i="13"/>
  <c r="I20" i="7"/>
  <c r="G20" i="7"/>
  <c r="G78" i="7"/>
  <c r="K78" i="7"/>
  <c r="I78" i="7"/>
  <c r="L112" i="7"/>
  <c r="H112" i="7"/>
  <c r="M15" i="11"/>
  <c r="I15" i="11"/>
  <c r="K15" i="11"/>
  <c r="J15" i="11"/>
  <c r="H15" i="11"/>
  <c r="G15" i="11"/>
  <c r="L3" i="7"/>
  <c r="H3" i="7"/>
  <c r="G56" i="7"/>
  <c r="I56" i="7"/>
  <c r="F56" i="7"/>
  <c r="K24" i="7"/>
  <c r="I24" i="7"/>
  <c r="G24" i="7"/>
  <c r="K48" i="11"/>
  <c r="I48" i="11"/>
  <c r="L48" i="11"/>
  <c r="H48" i="11"/>
  <c r="J48" i="11"/>
  <c r="F48" i="11"/>
  <c r="E48" i="11"/>
  <c r="M48" i="11"/>
  <c r="G48" i="11"/>
  <c r="K73" i="11"/>
  <c r="G73" i="11"/>
  <c r="C73" i="11"/>
  <c r="H73" i="11"/>
  <c r="F73" i="11"/>
  <c r="M73" i="11"/>
  <c r="D73" i="11"/>
  <c r="L73" i="11"/>
  <c r="E73" i="11"/>
  <c r="J73" i="11"/>
  <c r="I73" i="11"/>
  <c r="C48" i="11"/>
  <c r="H11" i="7"/>
  <c r="L11" i="7"/>
  <c r="F20" i="7"/>
  <c r="F78" i="7"/>
  <c r="H87" i="7"/>
  <c r="L87" i="7"/>
  <c r="K98" i="7"/>
  <c r="G98" i="7"/>
  <c r="F98" i="7"/>
  <c r="I113" i="7"/>
  <c r="G113" i="7"/>
  <c r="F113" i="7"/>
  <c r="L92" i="7"/>
  <c r="H92" i="7"/>
  <c r="E28" i="11"/>
  <c r="F44" i="7"/>
  <c r="E45" i="11"/>
  <c r="C27" i="5"/>
  <c r="H22" i="7"/>
  <c r="G44" i="7"/>
  <c r="F62" i="7"/>
  <c r="I71" i="7"/>
  <c r="G71" i="7"/>
  <c r="F71" i="7"/>
  <c r="K71" i="7"/>
  <c r="F45" i="11"/>
  <c r="H28" i="7"/>
  <c r="H33" i="7"/>
  <c r="L33" i="7"/>
  <c r="L104" i="7"/>
  <c r="H104" i="7"/>
  <c r="F109" i="7"/>
  <c r="K121" i="7"/>
  <c r="I121" i="7"/>
  <c r="F121" i="7"/>
  <c r="G121" i="7"/>
  <c r="H28" i="11"/>
  <c r="H45" i="11"/>
  <c r="E87" i="11"/>
  <c r="K87" i="11"/>
  <c r="L87" i="11"/>
  <c r="J87" i="11"/>
  <c r="M87" i="11"/>
  <c r="G28" i="13"/>
  <c r="F28" i="13"/>
  <c r="H28" i="13"/>
  <c r="M28" i="13"/>
  <c r="H82" i="7"/>
  <c r="F21" i="11"/>
  <c r="E21" i="11"/>
  <c r="L21" i="11"/>
  <c r="K21" i="11"/>
  <c r="J21" i="11"/>
  <c r="H21" i="11"/>
  <c r="I21" i="11"/>
  <c r="H119" i="7"/>
  <c r="L119" i="7"/>
  <c r="L19" i="7"/>
  <c r="H19" i="7"/>
  <c r="I27" i="7"/>
  <c r="K27" i="7"/>
  <c r="G27" i="7"/>
  <c r="K101" i="7"/>
  <c r="G101" i="7"/>
  <c r="I101" i="7"/>
  <c r="G21" i="11"/>
  <c r="K25" i="11"/>
  <c r="F25" i="11"/>
  <c r="E25" i="11"/>
  <c r="M25" i="11"/>
  <c r="H25" i="11"/>
  <c r="L25" i="11"/>
  <c r="I25" i="11"/>
  <c r="J25" i="11"/>
  <c r="K34" i="11"/>
  <c r="D51" i="11"/>
  <c r="I97" i="11"/>
  <c r="J22" i="13"/>
  <c r="I22" i="13"/>
  <c r="O22" i="13"/>
  <c r="G41" i="7"/>
  <c r="K41" i="7"/>
  <c r="I43" i="7"/>
  <c r="K43" i="7"/>
  <c r="G43" i="7"/>
  <c r="F43" i="7"/>
  <c r="F68" i="7"/>
  <c r="K72" i="7"/>
  <c r="I72" i="7"/>
  <c r="G72" i="7"/>
  <c r="F72" i="7"/>
  <c r="K84" i="7"/>
  <c r="I99" i="7"/>
  <c r="K99" i="7"/>
  <c r="K116" i="7"/>
  <c r="G116" i="7"/>
  <c r="I116" i="7"/>
  <c r="F8" i="11"/>
  <c r="I19" i="11"/>
  <c r="H19" i="11"/>
  <c r="M19" i="11"/>
  <c r="K19" i="11"/>
  <c r="L19" i="11"/>
  <c r="M21" i="11"/>
  <c r="C25" i="11"/>
  <c r="L34" i="11"/>
  <c r="D42" i="11"/>
  <c r="M47" i="11"/>
  <c r="G47" i="11"/>
  <c r="D47" i="11"/>
  <c r="K47" i="11"/>
  <c r="J47" i="11"/>
  <c r="I47" i="11"/>
  <c r="H47" i="11"/>
  <c r="F47" i="11"/>
  <c r="G51" i="11"/>
  <c r="D61" i="11"/>
  <c r="K64" i="11"/>
  <c r="H72" i="11"/>
  <c r="C72" i="11"/>
  <c r="G72" i="11"/>
  <c r="F72" i="11"/>
  <c r="E72" i="11"/>
  <c r="L72" i="11"/>
  <c r="J72" i="11"/>
  <c r="K72" i="11"/>
  <c r="H87" i="11"/>
  <c r="K90" i="11"/>
  <c r="J97" i="11"/>
  <c r="N17" i="13"/>
  <c r="M17" i="13"/>
  <c r="J94" i="13"/>
  <c r="I94" i="13"/>
  <c r="O94" i="13"/>
  <c r="K107" i="13"/>
  <c r="L107" i="13"/>
  <c r="I8" i="13"/>
  <c r="O8" i="13"/>
  <c r="J8" i="13"/>
  <c r="D15" i="11"/>
  <c r="M40" i="11"/>
  <c r="K105" i="11"/>
  <c r="I105" i="11"/>
  <c r="H105" i="11"/>
  <c r="L105" i="11"/>
  <c r="J105" i="11"/>
  <c r="G105" i="11"/>
  <c r="F105" i="11"/>
  <c r="M105" i="11"/>
  <c r="E105" i="11"/>
  <c r="C2" i="15"/>
  <c r="K56" i="7"/>
  <c r="K20" i="7"/>
  <c r="F24" i="7"/>
  <c r="N18" i="13"/>
  <c r="M18" i="13"/>
  <c r="B3" i="15"/>
  <c r="K8" i="7"/>
  <c r="I8" i="7"/>
  <c r="G8" i="7"/>
  <c r="F8" i="7"/>
  <c r="G28" i="11"/>
  <c r="K37" i="11"/>
  <c r="L37" i="11"/>
  <c r="J37" i="11"/>
  <c r="M37" i="11"/>
  <c r="I37" i="11"/>
  <c r="G37" i="11"/>
  <c r="F37" i="11"/>
  <c r="E37" i="11"/>
  <c r="H37" i="11"/>
  <c r="J94" i="11"/>
  <c r="D94" i="11"/>
  <c r="M94" i="11"/>
  <c r="F94" i="11"/>
  <c r="E94" i="11"/>
  <c r="C94" i="11"/>
  <c r="L94" i="11"/>
  <c r="K94" i="11"/>
  <c r="H120" i="13"/>
  <c r="G120" i="13"/>
  <c r="M120" i="13"/>
  <c r="I30" i="7"/>
  <c r="K30" i="7"/>
  <c r="G30" i="7"/>
  <c r="F84" i="7"/>
  <c r="H111" i="7"/>
  <c r="L111" i="7"/>
  <c r="D24" i="11"/>
  <c r="C90" i="11"/>
  <c r="L120" i="13"/>
  <c r="K120" i="13"/>
  <c r="I73" i="7"/>
  <c r="F30" i="7"/>
  <c r="I39" i="7"/>
  <c r="G39" i="7"/>
  <c r="F39" i="7"/>
  <c r="L102" i="7"/>
  <c r="H53" i="11"/>
  <c r="G53" i="11"/>
  <c r="L53" i="11"/>
  <c r="K53" i="11"/>
  <c r="J53" i="11"/>
  <c r="I53" i="11"/>
  <c r="E53" i="11"/>
  <c r="F53" i="11"/>
  <c r="J90" i="11"/>
  <c r="K5" i="7"/>
  <c r="I5" i="7"/>
  <c r="F5" i="7"/>
  <c r="G5" i="7"/>
  <c r="I16" i="7"/>
  <c r="G16" i="7"/>
  <c r="F16" i="7"/>
  <c r="L27" i="7"/>
  <c r="H27" i="7"/>
  <c r="H37" i="7"/>
  <c r="I54" i="7"/>
  <c r="K54" i="7"/>
  <c r="L65" i="7"/>
  <c r="G68" i="7"/>
  <c r="I112" i="7"/>
  <c r="K112" i="7"/>
  <c r="G112" i="7"/>
  <c r="E5" i="11"/>
  <c r="D5" i="11"/>
  <c r="I5" i="11"/>
  <c r="H5" i="11"/>
  <c r="L5" i="11"/>
  <c r="J5" i="11"/>
  <c r="K5" i="11"/>
  <c r="G8" i="11"/>
  <c r="C19" i="11"/>
  <c r="D25" i="11"/>
  <c r="J30" i="11"/>
  <c r="L30" i="11"/>
  <c r="K30" i="11"/>
  <c r="G30" i="11"/>
  <c r="F30" i="11"/>
  <c r="C47" i="11"/>
  <c r="H51" i="11"/>
  <c r="D53" i="11"/>
  <c r="E61" i="11"/>
  <c r="D72" i="11"/>
  <c r="I87" i="11"/>
  <c r="K11" i="13"/>
  <c r="L11" i="13"/>
  <c r="I19" i="13"/>
  <c r="J19" i="13"/>
  <c r="H72" i="13"/>
  <c r="G72" i="13"/>
  <c r="F72" i="13"/>
  <c r="M72" i="13"/>
  <c r="G97" i="13"/>
  <c r="F97" i="13"/>
  <c r="H97" i="13"/>
  <c r="L112" i="13"/>
  <c r="K112" i="13"/>
  <c r="F116" i="13"/>
  <c r="L5" i="7"/>
  <c r="H5" i="7"/>
  <c r="M115" i="11"/>
  <c r="I115" i="11"/>
  <c r="L115" i="11"/>
  <c r="E115" i="11"/>
  <c r="D115" i="11"/>
  <c r="H115" i="11"/>
  <c r="F115" i="11"/>
  <c r="G115" i="11"/>
  <c r="C115" i="11"/>
  <c r="O47" i="13"/>
  <c r="J47" i="13"/>
  <c r="I11" i="7"/>
  <c r="G11" i="7"/>
  <c r="K11" i="7"/>
  <c r="F11" i="7"/>
  <c r="I49" i="7"/>
  <c r="K49" i="7"/>
  <c r="G49" i="7"/>
  <c r="K94" i="7"/>
  <c r="I94" i="7"/>
  <c r="C12" i="11"/>
  <c r="L24" i="7"/>
  <c r="H24" i="7"/>
  <c r="H60" i="7"/>
  <c r="L60" i="7"/>
  <c r="F15" i="11"/>
  <c r="C28" i="11"/>
  <c r="L36" i="11"/>
  <c r="G36" i="11"/>
  <c r="F36" i="11"/>
  <c r="E36" i="11"/>
  <c r="M36" i="11"/>
  <c r="K36" i="11"/>
  <c r="J36" i="11"/>
  <c r="H36" i="11"/>
  <c r="C36" i="11"/>
  <c r="D36" i="11"/>
  <c r="D48" i="11"/>
  <c r="F2" i="11"/>
  <c r="J2" i="11"/>
  <c r="I2" i="11"/>
  <c r="K2" i="11"/>
  <c r="H2" i="11"/>
  <c r="L2" i="11"/>
  <c r="E2" i="11"/>
  <c r="G2" i="11"/>
  <c r="M2" i="11"/>
  <c r="D2" i="11"/>
  <c r="L15" i="11"/>
  <c r="F28" i="11"/>
  <c r="G73" i="7"/>
  <c r="M16" i="11"/>
  <c r="I16" i="11"/>
  <c r="G16" i="11"/>
  <c r="H16" i="11"/>
  <c r="L16" i="11"/>
  <c r="E16" i="11"/>
  <c r="K16" i="11"/>
  <c r="F16" i="11"/>
  <c r="J16" i="11"/>
  <c r="C24" i="11"/>
  <c r="F34" i="11"/>
  <c r="M34" i="11"/>
  <c r="J34" i="11"/>
  <c r="H34" i="11"/>
  <c r="I34" i="11"/>
  <c r="K25" i="13"/>
  <c r="L25" i="13"/>
  <c r="L121" i="13"/>
  <c r="K46" i="7"/>
  <c r="I46" i="7"/>
  <c r="G46" i="7"/>
  <c r="F46" i="7"/>
  <c r="G62" i="7"/>
  <c r="I75" i="7"/>
  <c r="G75" i="7"/>
  <c r="K75" i="7"/>
  <c r="F75" i="7"/>
  <c r="L107" i="7"/>
  <c r="K119" i="7"/>
  <c r="G119" i="7"/>
  <c r="I119" i="7"/>
  <c r="B4" i="15"/>
  <c r="H89" i="7"/>
  <c r="L89" i="7"/>
  <c r="K106" i="7"/>
  <c r="G106" i="7"/>
  <c r="F106" i="7"/>
  <c r="I106" i="7"/>
  <c r="L113" i="7"/>
  <c r="D16" i="11"/>
  <c r="J28" i="11"/>
  <c r="D37" i="11"/>
  <c r="C64" i="11"/>
  <c r="L38" i="7"/>
  <c r="L15" i="7"/>
  <c r="J64" i="11"/>
  <c r="G87" i="11"/>
  <c r="G92" i="11"/>
  <c r="M14" i="13"/>
  <c r="N14" i="13"/>
  <c r="L17" i="13"/>
  <c r="K17" i="13"/>
  <c r="K77" i="13"/>
  <c r="L77" i="13"/>
  <c r="I3" i="7"/>
  <c r="F3" i="7"/>
  <c r="K3" i="7"/>
  <c r="F14" i="7"/>
  <c r="H41" i="7"/>
  <c r="L41" i="7"/>
  <c r="L43" i="7"/>
  <c r="H43" i="7"/>
  <c r="G52" i="7"/>
  <c r="F52" i="7"/>
  <c r="K52" i="7"/>
  <c r="I52" i="7"/>
  <c r="L55" i="7"/>
  <c r="H68" i="7"/>
  <c r="K83" i="7"/>
  <c r="F83" i="7"/>
  <c r="I83" i="7"/>
  <c r="G83" i="7"/>
  <c r="H95" i="7"/>
  <c r="L95" i="7"/>
  <c r="H99" i="7"/>
  <c r="L99" i="7"/>
  <c r="L101" i="7"/>
  <c r="J101" i="7"/>
  <c r="L116" i="7"/>
  <c r="H116" i="7"/>
  <c r="L8" i="11"/>
  <c r="G25" i="11"/>
  <c r="J51" i="11"/>
  <c r="M53" i="11"/>
  <c r="F61" i="11"/>
  <c r="C65" i="11"/>
  <c r="J65" i="11"/>
  <c r="L65" i="11"/>
  <c r="I65" i="11"/>
  <c r="K65" i="11"/>
  <c r="M65" i="11"/>
  <c r="D65" i="11"/>
  <c r="H65" i="11"/>
  <c r="E65" i="11"/>
  <c r="G65" i="11"/>
  <c r="F65" i="11"/>
  <c r="I72" i="11"/>
  <c r="I80" i="11"/>
  <c r="H80" i="11"/>
  <c r="G80" i="11"/>
  <c r="F80" i="11"/>
  <c r="E80" i="11"/>
  <c r="F98" i="11"/>
  <c r="C98" i="11"/>
  <c r="M98" i="11"/>
  <c r="K98" i="11"/>
  <c r="L98" i="11"/>
  <c r="J98" i="11"/>
  <c r="I98" i="11"/>
  <c r="D98" i="11"/>
  <c r="H98" i="11"/>
  <c r="G98" i="11"/>
  <c r="E98" i="11"/>
  <c r="D112" i="11"/>
  <c r="M112" i="11"/>
  <c r="H112" i="11"/>
  <c r="G112" i="11"/>
  <c r="F112" i="11"/>
  <c r="L112" i="11"/>
  <c r="K112" i="11"/>
  <c r="N4" i="13"/>
  <c r="M4" i="13"/>
  <c r="N11" i="13"/>
  <c r="M11" i="13"/>
  <c r="M40" i="13"/>
  <c r="N40" i="13"/>
  <c r="L50" i="13"/>
  <c r="K50" i="13"/>
  <c r="F54" i="13"/>
  <c r="H54" i="13"/>
  <c r="G54" i="13"/>
  <c r="I60" i="13"/>
  <c r="O60" i="13"/>
  <c r="J60" i="13"/>
  <c r="I89" i="13"/>
  <c r="J89" i="13"/>
  <c r="O89" i="13"/>
  <c r="J95" i="13"/>
  <c r="G116" i="13"/>
  <c r="G19" i="13"/>
  <c r="F19" i="13"/>
  <c r="H19" i="13"/>
  <c r="J38" i="13"/>
  <c r="O38" i="13"/>
  <c r="I46" i="13"/>
  <c r="O46" i="13"/>
  <c r="J46" i="13"/>
  <c r="K55" i="13"/>
  <c r="L55" i="13"/>
  <c r="L89" i="13"/>
  <c r="K89" i="13"/>
  <c r="O115" i="13"/>
  <c r="J115" i="13"/>
  <c r="I115" i="13"/>
  <c r="N5" i="13"/>
  <c r="M5" i="13"/>
  <c r="N55" i="13"/>
  <c r="M55" i="13"/>
  <c r="L109" i="13"/>
  <c r="K109" i="13"/>
  <c r="G115" i="13"/>
  <c r="H115" i="13"/>
  <c r="F115" i="13"/>
  <c r="C67" i="11"/>
  <c r="C71" i="11"/>
  <c r="K46" i="13"/>
  <c r="L46" i="13"/>
  <c r="M71" i="13"/>
  <c r="G14" i="11"/>
  <c r="F20" i="11"/>
  <c r="G29" i="11"/>
  <c r="M29" i="11"/>
  <c r="F29" i="11"/>
  <c r="E29" i="11"/>
  <c r="I29" i="11"/>
  <c r="D29" i="11"/>
  <c r="H29" i="11"/>
  <c r="H31" i="11"/>
  <c r="C33" i="11"/>
  <c r="L33" i="11"/>
  <c r="I33" i="11"/>
  <c r="H33" i="11"/>
  <c r="K33" i="11"/>
  <c r="J33" i="11"/>
  <c r="J46" i="11"/>
  <c r="C46" i="11"/>
  <c r="E46" i="11"/>
  <c r="D46" i="11"/>
  <c r="L46" i="11"/>
  <c r="I46" i="11"/>
  <c r="K46" i="11"/>
  <c r="D71" i="11"/>
  <c r="C75" i="11"/>
  <c r="M79" i="11"/>
  <c r="E79" i="11"/>
  <c r="D79" i="11"/>
  <c r="L79" i="11"/>
  <c r="J79" i="11"/>
  <c r="K79" i="11"/>
  <c r="N10" i="13"/>
  <c r="M10" i="13"/>
  <c r="G26" i="13"/>
  <c r="F26" i="13"/>
  <c r="N46" i="13"/>
  <c r="M46" i="13"/>
  <c r="M48" i="13"/>
  <c r="H48" i="13"/>
  <c r="G48" i="13"/>
  <c r="F48" i="13"/>
  <c r="J68" i="13"/>
  <c r="I68" i="13"/>
  <c r="G81" i="13"/>
  <c r="H81" i="13"/>
  <c r="F81" i="13"/>
  <c r="K93" i="13"/>
  <c r="L93" i="13"/>
  <c r="G101" i="13"/>
  <c r="F101" i="13"/>
  <c r="I35" i="11"/>
  <c r="C35" i="11"/>
  <c r="E35" i="11"/>
  <c r="D35" i="11"/>
  <c r="J78" i="13"/>
  <c r="I78" i="13"/>
  <c r="O78" i="13"/>
  <c r="M109" i="13"/>
  <c r="N109" i="13"/>
  <c r="G26" i="7"/>
  <c r="F26" i="7"/>
  <c r="I61" i="7"/>
  <c r="G61" i="7"/>
  <c r="D81" i="11"/>
  <c r="I7" i="7"/>
  <c r="G7" i="7"/>
  <c r="F7" i="7"/>
  <c r="F100" i="7"/>
  <c r="G100" i="7"/>
  <c r="J106" i="7"/>
  <c r="I3" i="11"/>
  <c r="M3" i="11"/>
  <c r="E27" i="11"/>
  <c r="M27" i="11"/>
  <c r="G27" i="11"/>
  <c r="F27" i="11"/>
  <c r="K27" i="11"/>
  <c r="I27" i="11"/>
  <c r="J27" i="11"/>
  <c r="C29" i="11"/>
  <c r="D33" i="11"/>
  <c r="G35" i="11"/>
  <c r="F46" i="11"/>
  <c r="F71" i="11"/>
  <c r="D75" i="11"/>
  <c r="C79" i="11"/>
  <c r="L96" i="11"/>
  <c r="F96" i="11"/>
  <c r="G96" i="11"/>
  <c r="E96" i="11"/>
  <c r="K96" i="11"/>
  <c r="M96" i="11"/>
  <c r="J96" i="11"/>
  <c r="L104" i="11"/>
  <c r="H104" i="11"/>
  <c r="K104" i="11"/>
  <c r="J104" i="11"/>
  <c r="I104" i="11"/>
  <c r="L114" i="11"/>
  <c r="J114" i="11"/>
  <c r="F114" i="11"/>
  <c r="E114" i="11"/>
  <c r="M114" i="11"/>
  <c r="G114" i="11"/>
  <c r="D114" i="11"/>
  <c r="C114" i="11"/>
  <c r="G12" i="13"/>
  <c r="F12" i="13"/>
  <c r="H12" i="13"/>
  <c r="F35" i="13"/>
  <c r="J40" i="13"/>
  <c r="O40" i="13"/>
  <c r="I40" i="13"/>
  <c r="N63" i="13"/>
  <c r="M63" i="13"/>
  <c r="H68" i="13"/>
  <c r="G68" i="13"/>
  <c r="F68" i="13"/>
  <c r="M68" i="13"/>
  <c r="F71" i="13"/>
  <c r="K75" i="13"/>
  <c r="L75" i="13"/>
  <c r="K81" i="13"/>
  <c r="L81" i="13"/>
  <c r="L96" i="13"/>
  <c r="K96" i="13"/>
  <c r="M99" i="13"/>
  <c r="N99" i="13"/>
  <c r="J106" i="13"/>
  <c r="O106" i="13"/>
  <c r="J14" i="11"/>
  <c r="E14" i="11"/>
  <c r="F14" i="11"/>
  <c r="D14" i="11"/>
  <c r="M14" i="11"/>
  <c r="K14" i="11"/>
  <c r="L14" i="11"/>
  <c r="L20" i="11"/>
  <c r="M20" i="11"/>
  <c r="E20" i="11"/>
  <c r="D20" i="11"/>
  <c r="M31" i="11"/>
  <c r="D31" i="11"/>
  <c r="F31" i="11"/>
  <c r="C31" i="11"/>
  <c r="E31" i="11"/>
  <c r="J2" i="13"/>
  <c r="I2" i="13"/>
  <c r="F38" i="13"/>
  <c r="H38" i="13"/>
  <c r="M89" i="13"/>
  <c r="N89" i="13"/>
  <c r="C14" i="11"/>
  <c r="G31" i="11"/>
  <c r="C81" i="11"/>
  <c r="E81" i="11"/>
  <c r="F81" i="11"/>
  <c r="M81" i="11"/>
  <c r="K81" i="11"/>
  <c r="I81" i="11"/>
  <c r="J81" i="11"/>
  <c r="I83" i="11"/>
  <c r="M83" i="11"/>
  <c r="H83" i="11"/>
  <c r="G83" i="11"/>
  <c r="K83" i="11"/>
  <c r="J83" i="11"/>
  <c r="F83" i="11"/>
  <c r="E83" i="11"/>
  <c r="C83" i="11"/>
  <c r="D83" i="11"/>
  <c r="M19" i="13"/>
  <c r="F33" i="13"/>
  <c r="G33" i="13"/>
  <c r="H33" i="13"/>
  <c r="I23" i="7"/>
  <c r="K23" i="7"/>
  <c r="G23" i="7"/>
  <c r="F23" i="7"/>
  <c r="G29" i="7"/>
  <c r="G37" i="7"/>
  <c r="F37" i="7"/>
  <c r="L40" i="7"/>
  <c r="J40" i="7"/>
  <c r="K42" i="7"/>
  <c r="F42" i="7"/>
  <c r="G48" i="7"/>
  <c r="F53" i="7"/>
  <c r="L61" i="7"/>
  <c r="H61" i="7"/>
  <c r="F69" i="7"/>
  <c r="H72" i="7"/>
  <c r="F93" i="7"/>
  <c r="C3" i="11"/>
  <c r="I14" i="11"/>
  <c r="H20" i="11"/>
  <c r="C27" i="11"/>
  <c r="J29" i="11"/>
  <c r="J31" i="11"/>
  <c r="E33" i="11"/>
  <c r="H35" i="11"/>
  <c r="G46" i="11"/>
  <c r="D58" i="11"/>
  <c r="H58" i="11"/>
  <c r="G58" i="11"/>
  <c r="F58" i="11"/>
  <c r="L58" i="11"/>
  <c r="M58" i="11"/>
  <c r="L68" i="11"/>
  <c r="E68" i="11"/>
  <c r="F79" i="11"/>
  <c r="H81" i="11"/>
  <c r="L84" i="11"/>
  <c r="C84" i="11"/>
  <c r="C96" i="11"/>
  <c r="C104" i="11"/>
  <c r="H114" i="11"/>
  <c r="G21" i="13"/>
  <c r="F21" i="13"/>
  <c r="H21" i="13"/>
  <c r="N26" i="13"/>
  <c r="M26" i="13"/>
  <c r="H35" i="13"/>
  <c r="G38" i="13"/>
  <c r="H40" i="13"/>
  <c r="F40" i="13"/>
  <c r="H42" i="13"/>
  <c r="G42" i="13"/>
  <c r="F42" i="13"/>
  <c r="M42" i="13"/>
  <c r="H56" i="13"/>
  <c r="M56" i="13"/>
  <c r="G56" i="13"/>
  <c r="F56" i="13"/>
  <c r="H71" i="13"/>
  <c r="M75" i="13"/>
  <c r="N75" i="13"/>
  <c r="M81" i="13"/>
  <c r="N81" i="13"/>
  <c r="N101" i="13"/>
  <c r="M101" i="13"/>
  <c r="F106" i="13"/>
  <c r="M106" i="13"/>
  <c r="H106" i="13"/>
  <c r="G106" i="13"/>
  <c r="I64" i="7"/>
  <c r="G64" i="7"/>
  <c r="F64" i="7"/>
  <c r="I80" i="7"/>
  <c r="G80" i="7"/>
  <c r="G103" i="7"/>
  <c r="F103" i="7"/>
  <c r="I67" i="11"/>
  <c r="K67" i="11"/>
  <c r="L67" i="11"/>
  <c r="J67" i="11"/>
  <c r="M67" i="11"/>
  <c r="H67" i="11"/>
  <c r="F67" i="11"/>
  <c r="D67" i="11"/>
  <c r="E67" i="11"/>
  <c r="E71" i="11"/>
  <c r="K71" i="11"/>
  <c r="M71" i="11"/>
  <c r="I73" i="13"/>
  <c r="O73" i="13"/>
  <c r="N87" i="13"/>
  <c r="M87" i="13"/>
  <c r="G118" i="7"/>
  <c r="I118" i="7"/>
  <c r="C20" i="11"/>
  <c r="L75" i="11"/>
  <c r="I75" i="11"/>
  <c r="H75" i="11"/>
  <c r="G75" i="11"/>
  <c r="K4" i="7"/>
  <c r="G4" i="7"/>
  <c r="F4" i="7"/>
  <c r="G10" i="7"/>
  <c r="L12" i="7"/>
  <c r="H21" i="7"/>
  <c r="F40" i="7"/>
  <c r="G53" i="7"/>
  <c r="K64" i="7"/>
  <c r="L75" i="7"/>
  <c r="H93" i="7"/>
  <c r="F95" i="7"/>
  <c r="K95" i="7"/>
  <c r="L100" i="7"/>
  <c r="H100" i="7"/>
  <c r="F115" i="7"/>
  <c r="K115" i="7"/>
  <c r="I115" i="7"/>
  <c r="G115" i="7"/>
  <c r="F118" i="7"/>
  <c r="I20" i="11"/>
  <c r="K29" i="11"/>
  <c r="K31" i="11"/>
  <c r="F33" i="11"/>
  <c r="J35" i="11"/>
  <c r="H46" i="11"/>
  <c r="D60" i="11"/>
  <c r="G60" i="11"/>
  <c r="M60" i="11"/>
  <c r="J60" i="11"/>
  <c r="I60" i="11"/>
  <c r="K60" i="11"/>
  <c r="F60" i="11"/>
  <c r="H60" i="11"/>
  <c r="H71" i="11"/>
  <c r="F75" i="11"/>
  <c r="G79" i="11"/>
  <c r="L81" i="11"/>
  <c r="H108" i="11"/>
  <c r="D108" i="11"/>
  <c r="L108" i="11"/>
  <c r="M108" i="11"/>
  <c r="I108" i="11"/>
  <c r="G108" i="11"/>
  <c r="K108" i="11"/>
  <c r="K29" i="13"/>
  <c r="L29" i="13"/>
  <c r="K33" i="13"/>
  <c r="I38" i="13"/>
  <c r="L40" i="13"/>
  <c r="K40" i="13"/>
  <c r="L42" i="13"/>
  <c r="K42" i="13"/>
  <c r="L56" i="13"/>
  <c r="K56" i="13"/>
  <c r="M83" i="13"/>
  <c r="N83" i="13"/>
  <c r="J86" i="13"/>
  <c r="O86" i="13"/>
  <c r="I86" i="13"/>
  <c r="I104" i="13"/>
  <c r="J104" i="13"/>
  <c r="I39" i="13"/>
  <c r="O39" i="13"/>
  <c r="H104" i="13"/>
  <c r="G104" i="13"/>
  <c r="M104" i="13"/>
  <c r="F104" i="13"/>
  <c r="G10" i="11"/>
  <c r="F10" i="11"/>
  <c r="K57" i="11"/>
  <c r="M57" i="11"/>
  <c r="J57" i="11"/>
  <c r="I57" i="11"/>
  <c r="M119" i="11"/>
  <c r="L119" i="11"/>
  <c r="H119" i="11"/>
  <c r="J119" i="11"/>
  <c r="I119" i="11"/>
  <c r="G119" i="11"/>
  <c r="F119" i="11"/>
  <c r="E119" i="11"/>
  <c r="F18" i="13"/>
  <c r="H18" i="13"/>
  <c r="M22" i="13"/>
  <c r="N22" i="13"/>
  <c r="G24" i="13"/>
  <c r="F24" i="13"/>
  <c r="M24" i="13"/>
  <c r="L34" i="13"/>
  <c r="K34" i="13"/>
  <c r="G79" i="13"/>
  <c r="F79" i="13"/>
  <c r="L92" i="13"/>
  <c r="K92" i="13"/>
  <c r="N95" i="13"/>
  <c r="M95" i="13"/>
  <c r="H100" i="13"/>
  <c r="M100" i="13"/>
  <c r="G100" i="13"/>
  <c r="J34" i="13"/>
  <c r="O34" i="13"/>
  <c r="I34" i="13"/>
  <c r="O59" i="13"/>
  <c r="J59" i="13"/>
  <c r="I59" i="13"/>
  <c r="I69" i="13"/>
  <c r="J69" i="13"/>
  <c r="O92" i="13"/>
  <c r="J92" i="13"/>
  <c r="H83" i="7"/>
  <c r="L83" i="7"/>
  <c r="G13" i="11"/>
  <c r="M13" i="11"/>
  <c r="K41" i="11"/>
  <c r="J41" i="11"/>
  <c r="M41" i="11"/>
  <c r="E41" i="11"/>
  <c r="D41" i="11"/>
  <c r="C41" i="11"/>
  <c r="I69" i="11"/>
  <c r="C69" i="11"/>
  <c r="E69" i="11"/>
  <c r="D69" i="11"/>
  <c r="J69" i="11"/>
  <c r="H69" i="11"/>
  <c r="G69" i="11"/>
  <c r="D76" i="11"/>
  <c r="F76" i="11"/>
  <c r="E76" i="11"/>
  <c r="G9" i="13"/>
  <c r="H9" i="13"/>
  <c r="I24" i="13"/>
  <c r="O24" i="13"/>
  <c r="F34" i="13"/>
  <c r="H34" i="13"/>
  <c r="G34" i="13"/>
  <c r="F74" i="13"/>
  <c r="H74" i="13"/>
  <c r="G74" i="13"/>
  <c r="M74" i="13"/>
  <c r="N82" i="13"/>
  <c r="M82" i="13"/>
  <c r="G85" i="13"/>
  <c r="H85" i="13"/>
  <c r="F85" i="13"/>
  <c r="H92" i="13"/>
  <c r="G92" i="13"/>
  <c r="L104" i="13"/>
  <c r="K104" i="13"/>
  <c r="I108" i="13"/>
  <c r="O108" i="13"/>
  <c r="H111" i="13"/>
  <c r="G111" i="13"/>
  <c r="F111" i="13"/>
  <c r="I19" i="7"/>
  <c r="K19" i="7"/>
  <c r="L57" i="7"/>
  <c r="G105" i="7"/>
  <c r="E7" i="11"/>
  <c r="L7" i="11"/>
  <c r="K7" i="11"/>
  <c r="C10" i="11"/>
  <c r="D13" i="11"/>
  <c r="F18" i="11"/>
  <c r="D18" i="11"/>
  <c r="I18" i="11"/>
  <c r="H18" i="11"/>
  <c r="L18" i="11"/>
  <c r="K18" i="11"/>
  <c r="G41" i="11"/>
  <c r="C57" i="11"/>
  <c r="K69" i="11"/>
  <c r="G76" i="11"/>
  <c r="J78" i="11"/>
  <c r="I78" i="11"/>
  <c r="H78" i="11"/>
  <c r="M78" i="11"/>
  <c r="L78" i="11"/>
  <c r="G93" i="11"/>
  <c r="I93" i="11"/>
  <c r="H93" i="11"/>
  <c r="F93" i="11"/>
  <c r="M95" i="11"/>
  <c r="H95" i="11"/>
  <c r="L95" i="11"/>
  <c r="K95" i="11"/>
  <c r="J95" i="11"/>
  <c r="M111" i="11"/>
  <c r="H111" i="11"/>
  <c r="L111" i="11"/>
  <c r="K111" i="11"/>
  <c r="J111" i="11"/>
  <c r="G113" i="11"/>
  <c r="C113" i="11"/>
  <c r="F113" i="11"/>
  <c r="E113" i="11"/>
  <c r="J113" i="11"/>
  <c r="I113" i="11"/>
  <c r="G117" i="11"/>
  <c r="F117" i="11"/>
  <c r="D117" i="11"/>
  <c r="E117" i="11"/>
  <c r="M117" i="11"/>
  <c r="L117" i="11"/>
  <c r="K117" i="11"/>
  <c r="C119" i="11"/>
  <c r="L4" i="13"/>
  <c r="K4" i="13"/>
  <c r="M9" i="13"/>
  <c r="O14" i="13"/>
  <c r="I14" i="13"/>
  <c r="J14" i="13"/>
  <c r="I30" i="13"/>
  <c r="O30" i="13"/>
  <c r="N34" i="13"/>
  <c r="M34" i="13"/>
  <c r="O56" i="13"/>
  <c r="J56" i="13"/>
  <c r="I56" i="13"/>
  <c r="M92" i="13"/>
  <c r="N92" i="13"/>
  <c r="L100" i="13"/>
  <c r="K100" i="13"/>
  <c r="L108" i="13"/>
  <c r="K108" i="13"/>
  <c r="M111" i="13"/>
  <c r="C49" i="11"/>
  <c r="E49" i="11"/>
  <c r="D49" i="11"/>
  <c r="G23" i="13"/>
  <c r="H23" i="13"/>
  <c r="M30" i="13"/>
  <c r="N30" i="13"/>
  <c r="H36" i="13"/>
  <c r="G36" i="13"/>
  <c r="L80" i="13"/>
  <c r="K80" i="13"/>
  <c r="M93" i="13"/>
  <c r="N93" i="13"/>
  <c r="I105" i="13"/>
  <c r="O105" i="13"/>
  <c r="J105" i="13"/>
  <c r="L108" i="7"/>
  <c r="G111" i="7"/>
  <c r="J11" i="11"/>
  <c r="I11" i="11"/>
  <c r="D44" i="11"/>
  <c r="L44" i="11"/>
  <c r="G44" i="11"/>
  <c r="K44" i="11"/>
  <c r="J44" i="11"/>
  <c r="F49" i="11"/>
  <c r="F66" i="11"/>
  <c r="G66" i="11"/>
  <c r="E66" i="11"/>
  <c r="D66" i="11"/>
  <c r="K74" i="11"/>
  <c r="H74" i="11"/>
  <c r="M74" i="11"/>
  <c r="G77" i="11"/>
  <c r="E77" i="11"/>
  <c r="C77" i="11"/>
  <c r="L77" i="11"/>
  <c r="K77" i="11"/>
  <c r="H88" i="11"/>
  <c r="C88" i="11"/>
  <c r="I91" i="11"/>
  <c r="M91" i="11"/>
  <c r="I99" i="11"/>
  <c r="G99" i="11"/>
  <c r="C99" i="11"/>
  <c r="F99" i="11"/>
  <c r="E99" i="11"/>
  <c r="I10" i="13"/>
  <c r="O10" i="13"/>
  <c r="L13" i="13"/>
  <c r="K13" i="13"/>
  <c r="K23" i="13"/>
  <c r="L23" i="13"/>
  <c r="M97" i="13"/>
  <c r="N97" i="13"/>
  <c r="L88" i="7"/>
  <c r="E23" i="11"/>
  <c r="G23" i="11"/>
  <c r="M23" i="11"/>
  <c r="H32" i="11"/>
  <c r="D32" i="11"/>
  <c r="C32" i="11"/>
  <c r="G49" i="11"/>
  <c r="E55" i="11"/>
  <c r="D55" i="11"/>
  <c r="G55" i="11"/>
  <c r="C91" i="11"/>
  <c r="D99" i="11"/>
  <c r="E107" i="11"/>
  <c r="G107" i="11"/>
  <c r="H107" i="11"/>
  <c r="F107" i="11"/>
  <c r="K109" i="11"/>
  <c r="G109" i="11"/>
  <c r="G10" i="13"/>
  <c r="F10" i="13"/>
  <c r="N23" i="13"/>
  <c r="J33" i="13"/>
  <c r="I33" i="13"/>
  <c r="O71" i="13"/>
  <c r="I71" i="13"/>
  <c r="J71" i="13"/>
  <c r="J74" i="13"/>
  <c r="I74" i="13"/>
  <c r="O74" i="13"/>
  <c r="O82" i="13"/>
  <c r="J82" i="13"/>
  <c r="H88" i="13"/>
  <c r="G88" i="13"/>
  <c r="F88" i="13"/>
  <c r="C59" i="11"/>
  <c r="H59" i="11"/>
  <c r="J62" i="11"/>
  <c r="E62" i="11"/>
  <c r="J110" i="11"/>
  <c r="D110" i="11"/>
  <c r="G110" i="11"/>
  <c r="F110" i="11"/>
  <c r="G3" i="13"/>
  <c r="F3" i="13"/>
  <c r="N13" i="13"/>
  <c r="M13" i="13"/>
  <c r="G16" i="13"/>
  <c r="F16" i="13"/>
  <c r="I41" i="13"/>
  <c r="O41" i="13"/>
  <c r="G53" i="13"/>
  <c r="H53" i="13"/>
  <c r="N62" i="13"/>
  <c r="M62" i="13"/>
  <c r="G67" i="13"/>
  <c r="H67" i="13"/>
  <c r="F67" i="13"/>
  <c r="O99" i="13"/>
  <c r="I99" i="13"/>
  <c r="L105" i="13"/>
  <c r="K105" i="13"/>
  <c r="L96" i="7"/>
  <c r="C9" i="11"/>
  <c r="D17" i="11"/>
  <c r="E39" i="11"/>
  <c r="J39" i="11"/>
  <c r="L52" i="11"/>
  <c r="J52" i="11"/>
  <c r="K52" i="11"/>
  <c r="D59" i="11"/>
  <c r="C62" i="11"/>
  <c r="F82" i="11"/>
  <c r="I82" i="11"/>
  <c r="K82" i="11"/>
  <c r="D85" i="11"/>
  <c r="H85" i="11"/>
  <c r="M101" i="11"/>
  <c r="L101" i="11"/>
  <c r="C110" i="11"/>
  <c r="H27" i="13"/>
  <c r="F27" i="13"/>
  <c r="N35" i="13"/>
  <c r="O48" i="13"/>
  <c r="I48" i="13"/>
  <c r="G75" i="13"/>
  <c r="H75" i="13"/>
  <c r="G96" i="13"/>
  <c r="M96" i="13"/>
  <c r="G99" i="13"/>
  <c r="H99" i="13"/>
  <c r="F99" i="13"/>
  <c r="M105" i="13"/>
  <c r="N105" i="13"/>
  <c r="I103" i="11"/>
  <c r="E103" i="11"/>
  <c r="F103" i="11"/>
  <c r="F70" i="13"/>
  <c r="H70" i="13"/>
  <c r="N86" i="13"/>
  <c r="M86" i="13"/>
  <c r="C103" i="11"/>
  <c r="J118" i="11"/>
  <c r="K118" i="11"/>
  <c r="H118" i="11"/>
  <c r="D118" i="11"/>
  <c r="C121" i="11"/>
  <c r="F121" i="11"/>
  <c r="D121" i="11"/>
  <c r="M121" i="11"/>
  <c r="H4" i="13"/>
  <c r="G4" i="13"/>
  <c r="O11" i="13"/>
  <c r="I11" i="13"/>
  <c r="N15" i="13"/>
  <c r="H20" i="13"/>
  <c r="G20" i="13"/>
  <c r="G51" i="13"/>
  <c r="H51" i="13"/>
  <c r="J55" i="13"/>
  <c r="I55" i="13"/>
  <c r="O79" i="13"/>
  <c r="I79" i="13"/>
  <c r="O88" i="13"/>
  <c r="J88" i="13"/>
  <c r="N110" i="13"/>
  <c r="M110" i="13"/>
  <c r="N7" i="13"/>
  <c r="M12" i="13"/>
  <c r="N37" i="13"/>
  <c r="J70" i="13"/>
  <c r="O70" i="13"/>
  <c r="N74" i="13"/>
  <c r="O91" i="13"/>
  <c r="J91" i="13"/>
  <c r="G103" i="13"/>
  <c r="H103" i="13"/>
  <c r="B6" i="15"/>
  <c r="C6" i="15"/>
  <c r="G91" i="13"/>
  <c r="H91" i="13"/>
  <c r="F91" i="13"/>
  <c r="F2" i="13"/>
  <c r="H2" i="13"/>
  <c r="I21" i="13"/>
  <c r="J21" i="13"/>
  <c r="M57" i="13"/>
  <c r="N57" i="13"/>
  <c r="M61" i="13"/>
  <c r="N61" i="13"/>
  <c r="N94" i="13"/>
  <c r="M94" i="13"/>
  <c r="J98" i="13"/>
  <c r="I98" i="13"/>
  <c r="H121" i="13"/>
  <c r="G121" i="13"/>
  <c r="M121" i="13"/>
  <c r="M73" i="13"/>
  <c r="N78" i="13"/>
  <c r="M113" i="13"/>
  <c r="M77" i="13"/>
</calcChain>
</file>

<file path=xl/sharedStrings.xml><?xml version="1.0" encoding="utf-8"?>
<sst xmlns="http://schemas.openxmlformats.org/spreadsheetml/2006/main" count="1429" uniqueCount="373">
  <si>
    <t>OrderID</t>
  </si>
  <si>
    <t>OrderDate</t>
  </si>
  <si>
    <t>Region</t>
  </si>
  <si>
    <t>Salesperson</t>
  </si>
  <si>
    <t>Channel</t>
  </si>
  <si>
    <t>Category</t>
  </si>
  <si>
    <t>Product</t>
  </si>
  <si>
    <t>Units</t>
  </si>
  <si>
    <t>UnitPrice</t>
  </si>
  <si>
    <t>Discount</t>
  </si>
  <si>
    <t>GrossRevenue</t>
  </si>
  <si>
    <t>DiscountAmount</t>
  </si>
  <si>
    <t>NetRevenue</t>
  </si>
  <si>
    <t>RoundedNetRevenue</t>
  </si>
  <si>
    <t>RoundUpNetRevenue</t>
  </si>
  <si>
    <t>RoundDownNetRevenue</t>
  </si>
  <si>
    <t>ORD-1001</t>
  </si>
  <si>
    <t>North</t>
  </si>
  <si>
    <t>Priya Nair</t>
  </si>
  <si>
    <t>Online</t>
  </si>
  <si>
    <t>Electronics</t>
  </si>
  <si>
    <t>Wireless Mouse</t>
  </si>
  <si>
    <t>ORD-1002</t>
  </si>
  <si>
    <t>Retail Store</t>
  </si>
  <si>
    <t>Furniture</t>
  </si>
  <si>
    <t>Filing Cabinet</t>
  </si>
  <si>
    <t>ORD-1003</t>
  </si>
  <si>
    <t>West</t>
  </si>
  <si>
    <t>Ananya Joshi</t>
  </si>
  <si>
    <t>Stationery</t>
  </si>
  <si>
    <t>Gel Pen Pack</t>
  </si>
  <si>
    <t>ORD-1004</t>
  </si>
  <si>
    <t>South</t>
  </si>
  <si>
    <t>Rahul Iyer</t>
  </si>
  <si>
    <t>Standing Desk</t>
  </si>
  <si>
    <t>ORD-1005</t>
  </si>
  <si>
    <t>East</t>
  </si>
  <si>
    <t>Kabir Das</t>
  </si>
  <si>
    <t>Noise Cancel Headset</t>
  </si>
  <si>
    <t>ORD-1006</t>
  </si>
  <si>
    <t>Vikram Shah</t>
  </si>
  <si>
    <t>Partner</t>
  </si>
  <si>
    <t>ORD-1007</t>
  </si>
  <si>
    <t>Meera Sen</t>
  </si>
  <si>
    <t>ORD-1008</t>
  </si>
  <si>
    <t>Sneha Rao</t>
  </si>
  <si>
    <t>ORD-1009</t>
  </si>
  <si>
    <t>Notebook Set</t>
  </si>
  <si>
    <t>ORD-1010</t>
  </si>
  <si>
    <t>ORD-1011</t>
  </si>
  <si>
    <t>Laptop Pro 14</t>
  </si>
  <si>
    <t>ORD-1012</t>
  </si>
  <si>
    <t>ORD-1013</t>
  </si>
  <si>
    <t>ORD-1014</t>
  </si>
  <si>
    <t>ORD-1015</t>
  </si>
  <si>
    <t>ORD-1016</t>
  </si>
  <si>
    <t>ORD-1017</t>
  </si>
  <si>
    <t>Aarav Mehta</t>
  </si>
  <si>
    <t>Office Chair</t>
  </si>
  <si>
    <t>ORD-1018</t>
  </si>
  <si>
    <t>ORD-1019</t>
  </si>
  <si>
    <t>ORD-1020</t>
  </si>
  <si>
    <t>ORD-1021</t>
  </si>
  <si>
    <t>ORD-1022</t>
  </si>
  <si>
    <t>ORD-1023</t>
  </si>
  <si>
    <t>ORD-1024</t>
  </si>
  <si>
    <t>ORD-1025</t>
  </si>
  <si>
    <t>ORD-1026</t>
  </si>
  <si>
    <t>ORD-1027</t>
  </si>
  <si>
    <t>ORD-1028</t>
  </si>
  <si>
    <t>ORD-1029</t>
  </si>
  <si>
    <t>ORD-1030</t>
  </si>
  <si>
    <t>ORD-1031</t>
  </si>
  <si>
    <t>A4 Paper Ream</t>
  </si>
  <si>
    <t>ORD-1032</t>
  </si>
  <si>
    <t>ORD-1033</t>
  </si>
  <si>
    <t>ORD-1034</t>
  </si>
  <si>
    <t>ORD-1035</t>
  </si>
  <si>
    <t>ORD-1036</t>
  </si>
  <si>
    <t>ORD-1037</t>
  </si>
  <si>
    <t>ORD-1038</t>
  </si>
  <si>
    <t>ORD-1039</t>
  </si>
  <si>
    <t>ORD-1040</t>
  </si>
  <si>
    <t>ORD-1041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</si>
  <si>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</si>
  <si>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</si>
  <si>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</si>
  <si>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</si>
  <si>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</si>
  <si>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</si>
  <si>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</si>
  <si>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</si>
  <si>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</si>
  <si>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</si>
  <si>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</si>
  <si>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ORD-1053</t>
  </si>
  <si>
    <t>ORD-1054</t>
  </si>
  <si>
    <t>ORD-1055</t>
  </si>
  <si>
    <t>ORD-1056</t>
  </si>
  <si>
    <t>ORD-1057</t>
  </si>
  <si>
    <t>ORD-1058</t>
  </si>
  <si>
    <t>ORD-1059</t>
  </si>
  <si>
    <t>ORD-1060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</si>
  <si>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</si>
  <si>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</si>
  <si>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</si>
  <si>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</si>
  <si>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</si>
  <si>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</si>
  <si>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</si>
  <si>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</si>
  <si>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</si>
  <si>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</si>
  <si>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</si>
  <si>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ORD-1072</t>
  </si>
  <si>
    <t>ORD-1073</t>
  </si>
  <si>
    <t>ORD-1074</t>
  </si>
  <si>
    <t>ORD-1075</t>
  </si>
  <si>
    <t>ORD-1076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</si>
  <si>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</si>
  <si>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</si>
  <si>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</si>
  <si>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</si>
  <si>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</si>
  <si>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</si>
  <si>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</si>
  <si>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</si>
  <si>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</si>
  <si>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</si>
  <si>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</si>
  <si>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</si>
  <si>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</si>
  <si>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</si>
  <si>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</si>
  <si>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</si>
  <si>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</si>
  <si>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</si>
  <si>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</si>
  <si>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</si>
  <si>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</si>
  <si>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</si>
  <si>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</si>
  <si>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ORD-1100</t>
  </si>
  <si>
    <t>ORD-1101</t>
  </si>
  <si>
    <t>ORD-1102</t>
  </si>
  <si>
    <t>ORD-1103</t>
  </si>
  <si>
    <t>ORD-1104</t>
  </si>
  <si>
    <t>ORD-1105</t>
  </si>
  <si>
    <t>ORD-1106</t>
  </si>
  <si>
    <t>ORD-1107</t>
  </si>
  <si>
    <t>ORD-1108</t>
  </si>
  <si>
    <t>ORD-1109</t>
  </si>
  <si>
    <t>ORD-1110</t>
  </si>
  <si>
    <t>ORD-1111</t>
  </si>
  <si>
    <t>ORD-1112</t>
  </si>
  <si>
    <t>ORD-1113</t>
  </si>
  <si>
    <t>ORD-1114</t>
  </si>
  <si>
    <t>ORD-1115</t>
  </si>
  <si>
    <t>ORD-1116</t>
  </si>
  <si>
    <t>ORD-1117</t>
  </si>
  <si>
    <t>ORD-1118</t>
  </si>
  <si>
    <t>ORD-1119</t>
  </si>
  <si>
    <t>ORD-1120</t>
  </si>
  <si>
    <t>UnitCost</t>
  </si>
  <si>
    <t>MonthlyTarget</t>
  </si>
  <si>
    <t>Sales Dashboard</t>
  </si>
  <si>
    <t>Monthly Net Revenue</t>
  </si>
  <si>
    <t>Net Revenue by Region</t>
  </si>
  <si>
    <t>Net Revenue by Category</t>
  </si>
  <si>
    <t>Month</t>
  </si>
  <si>
    <t>Net Revenue</t>
  </si>
  <si>
    <t>Sales Analysis</t>
  </si>
  <si>
    <t>East Units Helper</t>
  </si>
  <si>
    <t>2. Aggregation</t>
  </si>
  <si>
    <t>Metric</t>
  </si>
  <si>
    <t>Formula</t>
  </si>
  <si>
    <t>Result</t>
  </si>
  <si>
    <t>Total Units</t>
  </si>
  <si>
    <t>=SUM(Sales!H2:H121)</t>
  </si>
  <si>
    <t>Average Units</t>
  </si>
  <si>
    <t>=AVERAGE(Sales!H2:H121)</t>
  </si>
  <si>
    <t>Minimum Units</t>
  </si>
  <si>
    <t>=MIN(Sales!H2:H121)</t>
  </si>
  <si>
    <t>Maximum Units</t>
  </si>
  <si>
    <t>=MAX(Sales!H2:H121)</t>
  </si>
  <si>
    <t>Median Units</t>
  </si>
  <si>
    <t>=MEDIAN(Sales!H2:H121)</t>
  </si>
  <si>
    <t>Most Frequent Units</t>
  </si>
  <si>
    <t>=MODE(Sales!H2:H121)</t>
  </si>
  <si>
    <t>Numeric Unit Count</t>
  </si>
  <si>
    <t>=COUNT(Sales!H2:H121)</t>
  </si>
  <si>
    <t>Non-blank OrderID Count</t>
  </si>
  <si>
    <t>=COUNTA(Sales!A2:A121)</t>
  </si>
  <si>
    <t>Blank OrderID Count</t>
  </si>
  <si>
    <t>=COUNTBLANK(Sales!A2:A121)</t>
  </si>
  <si>
    <t>Third-largest Units</t>
  </si>
  <si>
    <t>=LARGE(Sales!H2:H121,3)</t>
  </si>
  <si>
    <t>Third-smallest Units</t>
  </si>
  <si>
    <t>=SMALL(Sales!H2:H121,3)</t>
  </si>
  <si>
    <t>Visible Units Subtotal</t>
  </si>
  <si>
    <t>=SUBTOTAL(109,Sales!H2:H121)</t>
  </si>
  <si>
    <t>3. Conditional Aggregation</t>
  </si>
  <si>
    <t>North Total Units</t>
  </si>
  <si>
    <t>=SUMIF(Sales!C2:C121,"North",Sales!H2:H121)</t>
  </si>
  <si>
    <t>North Electronics Units</t>
  </si>
  <si>
    <t>=SUMIFS(Sales!H2:H121,Sales!C2:C121,"North",Sales!F2:F121,"Electronics")</t>
  </si>
  <si>
    <t>Furniture Order Count</t>
  </si>
  <si>
    <t>=COUNTIF(Sales!F2:F121,"Furniture")</t>
  </si>
  <si>
    <t>West Online Order Count</t>
  </si>
  <si>
    <t>=COUNTIFS(Sales!C2:C121,"West",Sales!E2:E121,"Online")</t>
  </si>
  <si>
    <t>North Average Units</t>
  </si>
  <si>
    <t>=AVERAGEIF(Sales!C2:C121,"North",Sales!H2:H121)</t>
  </si>
  <si>
    <t>North Electronics Average Units</t>
  </si>
  <si>
    <t>=AVERAGEIFS(Sales!H2:H121,Sales!C2:C121,"North",Sales!F2:F121,"Electronics")</t>
  </si>
  <si>
    <t>East Maximum Units</t>
  </si>
  <si>
    <t>=MAX(E2:E121)</t>
  </si>
  <si>
    <t>East Minimum Units</t>
  </si>
  <si>
    <t>=MIN(F2:F121)</t>
  </si>
  <si>
    <t>South Gross Revenue</t>
  </si>
  <si>
    <t>=SUMPRODUCT((Sales!C2:C121="South")*Sales!H2:H121*Sales!I2:I121)</t>
  </si>
  <si>
    <t>Logical Formula Examples</t>
  </si>
  <si>
    <t>Meaning</t>
  </si>
  <si>
    <t>Row 2 Result</t>
  </si>
  <si>
    <t>=IF(Sales!H2&gt;15,"Bulk","Normal")</t>
  </si>
  <si>
    <t>Classifies an order by Units.</t>
  </si>
  <si>
    <t>=IF(AND(Sales!H2&gt;10,Sales!J2&gt;0),"Bulk Discount","")</t>
  </si>
  <si>
    <t>Requires more than 10 Units and a discount.</t>
  </si>
  <si>
    <t>=IF(OR(Sales!C2="North",Sales!C2="South"),"N/S","E/W")</t>
  </si>
  <si>
    <t>Groups regions into North/South or East/West.</t>
  </si>
  <si>
    <t>=IFS(Sales!H2&gt;20,"High",Sales!H2&gt;10,"Medium",TRUE,"Low")</t>
  </si>
  <si>
    <t>Uses nested IF because this Excel version may not support IFS.</t>
  </si>
  <si>
    <t>=IF(Sales!H2&gt;20,"High",IF(Sales!H2&gt;10,"Medium","Low"))</t>
  </si>
  <si>
    <t>Compatibility alternative to IFS.</t>
  </si>
  <si>
    <t>=SWITCH(Sales!E2,"Online",0.02,"Retail Store",0.05,"Partner",0.08)</t>
  </si>
  <si>
    <t>Uses nested IF because this Excel version may not support SWITCH.</t>
  </si>
  <si>
    <t>=IFERROR(Sales!H2/Sales!I2,0)</t>
  </si>
  <si>
    <t>Returns zero if the calculation errors.</t>
  </si>
  <si>
    <t>=NOT(Sales!H2&gt;15)</t>
  </si>
  <si>
    <t>Reverses a TRUE/FALSE condition.</t>
  </si>
  <si>
    <t>=XOR(Sales!C2="North",Sales!E2="Online")</t>
  </si>
  <si>
    <t>Uses IF/AND/OR because this Excel version may not support XOR.</t>
  </si>
  <si>
    <t>OrderSize</t>
  </si>
  <si>
    <t>BulkDiscount</t>
  </si>
  <si>
    <t>RegionGroup</t>
  </si>
  <si>
    <t>SizeUsingIF</t>
  </si>
  <si>
    <t>ChannelRate</t>
  </si>
  <si>
    <t>SafeRatio</t>
  </si>
  <si>
    <t>OneOfTwo</t>
  </si>
  <si>
    <t>Lookup &amp; Reference Examples</t>
  </si>
  <si>
    <t>=VLOOKUP(Sales!G2,Products!$A$2:$D$10,4,FALSE)</t>
  </si>
  <si>
    <t>Returns UnitCost using the product name.</t>
  </si>
  <si>
    <t>=XLOOKUP(Sales!G2,Products!$A$2:$A$10,Products!$D$2:$D$10)</t>
  </si>
  <si>
    <t>Modern alternative to VLOOKUP; shown for reference.</t>
  </si>
  <si>
    <t>=INDEX(Products!$D$2:$D$10,MATCH(Sales!G2,Products!$A$2:$A$10,0))</t>
  </si>
  <si>
    <t>Compatible exact-match lookup for UnitCost.</t>
  </si>
  <si>
    <t>=HLOOKUP("Laptop Pro 14",Products!$A$1:$I$4,4,FALSE)</t>
  </si>
  <si>
    <t>Searches horizontally; included as a reference example.</t>
  </si>
  <si>
    <t>=LOOKUP(Sales!G2,Products!$A$2:$A$10,Products!$D$2:$D$10)</t>
  </si>
  <si>
    <t>Approximate lookup; the lookup list must be sorted.</t>
  </si>
  <si>
    <t>=CHOOSE(2,"Online","Retail Store","Partner")</t>
  </si>
  <si>
    <t>Returns the selected item by position.</t>
  </si>
  <si>
    <t>=OFFSET(Products!A1,1,3)</t>
  </si>
  <si>
    <t>Returns a reference offset from a starting cell.</t>
  </si>
  <si>
    <t>=INDIRECT("Products!D2")</t>
  </si>
  <si>
    <t>Converts text into a cell reference.</t>
  </si>
  <si>
    <t>=XLOOKUP(Sales!D2,Targets!$B$2:$B$9,Targets!$C$2:$C$9)</t>
  </si>
  <si>
    <t>Returns MonthlyTarget for a salesperson.</t>
  </si>
  <si>
    <t>ProductLookupMethod</t>
  </si>
  <si>
    <t>TargetLookupMethod</t>
  </si>
  <si>
    <t>INDEX/MATCH</t>
  </si>
  <si>
    <t>Date &amp; Time Formula Examples</t>
  </si>
  <si>
    <t>=YEAR(Sales!B2)</t>
  </si>
  <si>
    <t>Returns the order year.</t>
  </si>
  <si>
    <t>=MONTH(Sales!B2)</t>
  </si>
  <si>
    <t>Returns the order month number.</t>
  </si>
  <si>
    <t>=DAY(Sales!B2)</t>
  </si>
  <si>
    <t>Returns the day of the month.</t>
  </si>
  <si>
    <t>=WEEKNUM(Sales!B2)</t>
  </si>
  <si>
    <t>Returns the week number.</t>
  </si>
  <si>
    <t>=TEXT(Sales!B2,"mmm")</t>
  </si>
  <si>
    <t>Displays the abbreviated month.</t>
  </si>
  <si>
    <t>=TEXT(Sales!B2,"mmm-yy")</t>
  </si>
  <si>
    <t>Displays month and year.</t>
  </si>
  <si>
    <t>=EOMONTH(Sales!B2,0)</t>
  </si>
  <si>
    <t>Returns the last day of the order month.</t>
  </si>
  <si>
    <t>=EDATE(Sales!B2,1)</t>
  </si>
  <si>
    <t>Returns one month after the order date.</t>
  </si>
  <si>
    <t>=WEEKDAY(Sales!B2,2)</t>
  </si>
  <si>
    <t>Returns Monday as 1 through Sunday as 7.</t>
  </si>
  <si>
    <t>=NETWORKDAYS(Sales!B2,TODAY())</t>
  </si>
  <si>
    <t>Counts weekdays from order date to today.</t>
  </si>
  <si>
    <t>=DATEDIF(Sales!B2,TODAY(),"m")</t>
  </si>
  <si>
    <t>Counts complete months from order date to today.</t>
  </si>
  <si>
    <t>=TODAY()</t>
  </si>
  <si>
    <t>Returns today’s date.</t>
  </si>
  <si>
    <t>=NOW()</t>
  </si>
  <si>
    <t>Returns the current date and time.</t>
  </si>
  <si>
    <t>Year</t>
  </si>
  <si>
    <t>Day</t>
  </si>
  <si>
    <t>WeekNum</t>
  </si>
  <si>
    <t>MonthName</t>
  </si>
  <si>
    <t>MonthYear</t>
  </si>
  <si>
    <t>MonthEnd</t>
  </si>
  <si>
    <t>NextMonth</t>
  </si>
  <si>
    <t>Weekday</t>
  </si>
  <si>
    <t>WorkdaysToToday</t>
  </si>
  <si>
    <t>MonthsToToday</t>
  </si>
  <si>
    <t>Text Formula Examples</t>
  </si>
  <si>
    <t>=UPPER(Sales!D2)</t>
  </si>
  <si>
    <t>Converts the salesperson name to uppercase.</t>
  </si>
  <si>
    <t>=LOWER(Sales!D2)</t>
  </si>
  <si>
    <t>Converts the salesperson name to lowercase.</t>
  </si>
  <si>
    <t>=PROPER(Sales!D2)</t>
  </si>
  <si>
    <t>Capitalizes each word in the salesperson name.</t>
  </si>
  <si>
    <t>=LEFT(Sales!A2,3)</t>
  </si>
  <si>
    <t>Returns the first three OrderID characters.</t>
  </si>
  <si>
    <t>=RIGHT(Sales!A2,4)</t>
  </si>
  <si>
    <t>Returns the last four OrderID characters.</t>
  </si>
  <si>
    <t>=MID(Sales!A2,5,4)</t>
  </si>
  <si>
    <t>Extracts four characters starting at position five.</t>
  </si>
  <si>
    <t>=LEN(Sales!G2)</t>
  </si>
  <si>
    <t>Counts characters in the product name.</t>
  </si>
  <si>
    <t>=TRIM(Sales!G2)</t>
  </si>
  <si>
    <t>Removes extra spaces from the product name.</t>
  </si>
  <si>
    <t>=CONCAT(Sales!C2,"-",Sales!D2)</t>
  </si>
  <si>
    <t>Combines Region and Salesperson.</t>
  </si>
  <si>
    <t>=TEXTJOIN("-",TRUE,Sales!C2,Sales!E2)</t>
  </si>
  <si>
    <t>Combines Region and Channel.</t>
  </si>
  <si>
    <t>=SUBSTITUTE(Sales!A2,"ORD-","")</t>
  </si>
  <si>
    <t>Removes the ORD- prefix.</t>
  </si>
  <si>
    <t>=FIND("-",Sales!A2)</t>
  </si>
  <si>
    <t>Finds the hyphen position; case-sensitive.</t>
  </si>
  <si>
    <t>=SEARCH("ord",Sales!A2)</t>
  </si>
  <si>
    <t>Finds text without case sensitivity.</t>
  </si>
  <si>
    <t>=TEXTBEFORE(Sales!A2,"-")</t>
  </si>
  <si>
    <t>Modern way to return text before a hyphen.</t>
  </si>
  <si>
    <t>=TEXTAFTER(Sales!A2,"-")</t>
  </si>
  <si>
    <t>Modern way to return text after a hyphen.</t>
  </si>
  <si>
    <t>=VALUE(TEXTAFTER(Sales!A2,"-"))</t>
  </si>
  <si>
    <t>Converts the extracted OrderID text to a number.</t>
  </si>
  <si>
    <t>UpperName</t>
  </si>
  <si>
    <t>LowerName</t>
  </si>
  <si>
    <t>ProperName</t>
  </si>
  <si>
    <t>OrderPrefix</t>
  </si>
  <si>
    <t>OrderNumberText</t>
  </si>
  <si>
    <t>ProductLength</t>
  </si>
  <si>
    <t>CleanProduct</t>
  </si>
  <si>
    <t>RegionSalesperson</t>
  </si>
  <si>
    <t>RegionChannel</t>
  </si>
  <si>
    <t>OrderNumber</t>
  </si>
  <si>
    <t>Salesperson Gross Revenue Summary</t>
  </si>
  <si>
    <t>Gross Revenue</t>
  </si>
  <si>
    <t>Total Orders</t>
  </si>
  <si>
    <t>Grand Total</t>
  </si>
  <si>
    <t>Product Total Units Summary</t>
  </si>
  <si>
    <t xml:space="preserve">1. Total Net Revenue by Region. </t>
  </si>
  <si>
    <t xml:space="preserve">2. Total Orders by Salesperson. </t>
  </si>
  <si>
    <t xml:space="preserve">3. Gross Revenue + Total Orders by Salesperson. </t>
  </si>
  <si>
    <t xml:space="preserve">4. Total Units Sold by Product, sorted highest to lowest. </t>
  </si>
  <si>
    <t xml:space="preserve">5. Total Net Revenue by Product Category. </t>
  </si>
  <si>
    <t xml:space="preserve">6. Net Revenue by Salesperson and Region. </t>
  </si>
  <si>
    <t xml:space="preserve">7. Total Orders by Region and Sales Channel. </t>
  </si>
  <si>
    <t xml:space="preserve">8. Average Net Revenue by Salesperson. </t>
  </si>
  <si>
    <t xml:space="preserve">9. Units Sold + Net Revenue by Product. </t>
  </si>
  <si>
    <t xml:space="preserve">10. Change one value in the source Sales data, refresh the Pivot Table, and verify the updated result. </t>
  </si>
  <si>
    <t>Sum of NetRevenue</t>
  </si>
  <si>
    <t>Row Labels</t>
  </si>
  <si>
    <t>Count of OrderID</t>
  </si>
  <si>
    <t>Sum of GrossRevenue</t>
  </si>
  <si>
    <t>Sum of Units</t>
  </si>
  <si>
    <t>Average of NetRevenue</t>
  </si>
  <si>
    <t>Aarav Mehta_01</t>
  </si>
  <si>
    <t>added Aarav Mehta_01 as another sales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</si>
</sst>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mmm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color rgb="FF1F4E78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1" fillId="2" borderId="0" xfId="0" applyFont="1" applyFill="1"/>
    <xf numFmtId="0" fontId="3" fillId="0" borderId="0" xfId="0" applyFont="1"/>
    <xf numFmtId="165" fontId="0" fillId="0" borderId="0" xfId="0" applyNumberFormat="1"/>
    <xf numFmtId="4" fontId="0" fillId="0" borderId="0" xfId="0" applyNumberFormat="1"/>
    <xf numFmtId="10" fontId="0" fillId="0" borderId="0" xfId="0" applyNumberFormat="1"/>
    <xf numFmtId="3" fontId="3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Monthly Net Revenue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Charts!$B$4</c:f>
              <c:strCache>
                <c:ptCount val="1"/>
                <c:pt idx="0">
                  <c:v>Net Revenue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Charts!$A$5:$A$16</c:f>
              <c:numCache>
                <c:formatCode>mmm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Charts!$B$5:$B$16</c:f>
              <c:numCache>
                <c:formatCode>#,##0</c:formatCode>
                <c:ptCount val="12"/>
                <c:pt idx="0">
                  <c:v>2631775</c:v>
                </c:pt>
                <c:pt idx="1">
                  <c:v>678050</c:v>
                </c:pt>
                <c:pt idx="2">
                  <c:v>3360925</c:v>
                </c:pt>
                <c:pt idx="3">
                  <c:v>1417700</c:v>
                </c:pt>
                <c:pt idx="4">
                  <c:v>1129620</c:v>
                </c:pt>
                <c:pt idx="5">
                  <c:v>2216930</c:v>
                </c:pt>
                <c:pt idx="6">
                  <c:v>460140</c:v>
                </c:pt>
                <c:pt idx="7">
                  <c:v>2345135</c:v>
                </c:pt>
                <c:pt idx="8">
                  <c:v>1818600</c:v>
                </c:pt>
                <c:pt idx="9">
                  <c:v>1193950</c:v>
                </c:pt>
                <c:pt idx="10">
                  <c:v>808425</c:v>
                </c:pt>
                <c:pt idx="11">
                  <c:v>683985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60-4407-A2F4-E01181784F5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mmm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Net Revenue by Region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Charts!$E$4</c:f>
              <c:strCache>
                <c:ptCount val="1"/>
                <c:pt idx="0">
                  <c:v>Net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Charts!$D$5:$D$8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Charts!$E$5:$E$8</c:f>
              <c:numCache>
                <c:formatCode>#,##0</c:formatCode>
                <c:ptCount val="4"/>
                <c:pt idx="0">
                  <c:v>5300280</c:v>
                </c:pt>
                <c:pt idx="1">
                  <c:v>3712480</c:v>
                </c:pt>
                <c:pt idx="2">
                  <c:v>5853755</c:v>
                </c:pt>
                <c:pt idx="3">
                  <c:v>3878720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F-49D0-9086-834D88D8014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Net Revenue by Category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Charts!$H$4</c:f>
              <c:strCache>
                <c:ptCount val="1"/>
                <c:pt idx="0">
                  <c:v>Net Revenue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Charts!$G$5:$G$7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Stationery</c:v>
                </c:pt>
              </c:strCache>
            </c:strRef>
          </c:cat>
          <c:val>
            <c:numRef>
              <c:f>Charts!$H$5:$H$7</c:f>
              <c:numCache>
                <c:formatCode>#,##0</c:formatCode>
                <c:ptCount val="3"/>
                <c:pt idx="0">
                  <c:v>11912375</c:v>
                </c:pt>
                <c:pt idx="1">
                  <c:v>6653000</c:v>
                </c:pt>
                <c:pt idx="2">
                  <c:v>179860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7-412E-89AC-FAC5AF38330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18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</xdr:row>
      <xdr:rowOff>0</xdr:rowOff>
    </xdr:from>
    <xdr:ext cx="432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18</xdr:row>
      <xdr:rowOff>0</xdr:rowOff>
    </xdr:from>
    <xdr:ext cx="360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vya Nagaraj" refreshedDate="46291.555855439816" createdVersion="8" refreshedVersion="8" minRefreshableVersion="3" recordCount="120" xr:uid="{5B746841-0FD2-4892-9C89-77718CED6AF1}">
  <cacheSource type="worksheet">
    <worksheetSource ref="A1:P121" sheet="Sales"/>
  </cacheSource>
  <cacheFields count="16">
    <cacheField name="OrderID" numFmtId="0">
      <sharedItems/>
    </cacheField>
    <cacheField name="OrderDate" numFmtId="164">
      <sharedItems containsSemiMixedTypes="0" containsNonDate="0" containsDate="1" containsString="0" minDate="2025-01-01T00:00:00" maxDate="2025-12-23T00:00:00"/>
    </cacheField>
    <cacheField name="Region" numFmtId="0">
      <sharedItems count="4">
        <s v="North"/>
        <s v="West"/>
        <s v="South"/>
        <s v="East"/>
      </sharedItems>
    </cacheField>
    <cacheField name="Salesperson" numFmtId="0">
      <sharedItems count="9">
        <s v="Priya Nair"/>
        <s v="Ananya Joshi"/>
        <s v="Rahul Iyer"/>
        <s v="Kabir Das"/>
        <s v="Vikram Shah"/>
        <s v="Meera Sen"/>
        <s v="Sneha Rao"/>
        <s v="Aarav Mehta_01"/>
        <s v="Aarav Mehta"/>
      </sharedItems>
    </cacheField>
    <cacheField name="Channel" numFmtId="0">
      <sharedItems count="3">
        <s v="Online"/>
        <s v="Retail Store"/>
        <s v="Partner"/>
      </sharedItems>
    </cacheField>
    <cacheField name="Category" numFmtId="0">
      <sharedItems count="3">
        <s v="Electronics"/>
        <s v="Furniture"/>
        <s v="Stationery"/>
      </sharedItems>
    </cacheField>
    <cacheField name="Product" numFmtId="0">
      <sharedItems count="9">
        <s v="Wireless Mouse"/>
        <s v="Filing Cabinet"/>
        <s v="Gel Pen Pack"/>
        <s v="Standing Desk"/>
        <s v="Noise Cancel Headset"/>
        <s v="Notebook Set"/>
        <s v="Laptop Pro 14"/>
        <s v="Office Chair"/>
        <s v="A4 Paper Ream"/>
      </sharedItems>
    </cacheField>
    <cacheField name="Units" numFmtId="0">
      <sharedItems containsSemiMixedTypes="0" containsString="0" containsNumber="1" containsInteger="1" minValue="1" maxValue="25"/>
    </cacheField>
    <cacheField name="UnitPrice" numFmtId="3">
      <sharedItems containsSemiMixedTypes="0" containsString="0" containsNumber="1" containsInteger="1" minValue="250" maxValue="95000"/>
    </cacheField>
    <cacheField name="Discount" numFmtId="9">
      <sharedItems containsSemiMixedTypes="0" containsString="0" containsNumber="1" minValue="0" maxValue="0.15"/>
    </cacheField>
    <cacheField name="GrossRevenue" numFmtId="3">
      <sharedItems containsSemiMixedTypes="0" containsString="0" containsNumber="1" containsInteger="1" minValue="500" maxValue="1615000"/>
    </cacheField>
    <cacheField name="DiscountAmount" numFmtId="3">
      <sharedItems containsSemiMixedTypes="0" containsString="0" containsNumber="1" containsInteger="1" minValue="0" maxValue="228000"/>
    </cacheField>
    <cacheField name="NetRevenue" numFmtId="3">
      <sharedItems containsSemiMixedTypes="0" containsString="0" containsNumber="1" containsInteger="1" minValue="500" maxValue="1615000"/>
    </cacheField>
    <cacheField name="RoundedNetRevenue" numFmtId="3">
      <sharedItems containsSemiMixedTypes="0" containsString="0" containsNumber="1" containsInteger="1" minValue="500" maxValue="1615000"/>
    </cacheField>
    <cacheField name="RoundUpNetRevenue" numFmtId="3">
      <sharedItems containsSemiMixedTypes="0" containsString="0" containsNumber="1" containsInteger="1" minValue="500" maxValue="1615000"/>
    </cacheField>
    <cacheField name="RoundDownNetRevenue" numFmtId="3">
      <sharedItems containsSemiMixedTypes="0" containsString="0" containsNumber="1" containsInteger="1" minValue="500" maxValue="161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ORD-1001"/>
    <d v="2025-06-21T00:00:00"/>
    <x v="0"/>
    <x v="0"/>
    <x v="0"/>
    <x v="0"/>
    <x v="0"/>
    <n v="6"/>
    <n v="1500"/>
    <n v="0"/>
    <n v="9000"/>
    <n v="0"/>
    <n v="9000"/>
    <n v="9000"/>
    <n v="9000"/>
    <n v="9000"/>
  </r>
  <r>
    <s v="ORD-1002"/>
    <d v="2025-10-23T00:00:00"/>
    <x v="0"/>
    <x v="0"/>
    <x v="1"/>
    <x v="1"/>
    <x v="1"/>
    <n v="25"/>
    <n v="7000"/>
    <n v="0"/>
    <n v="175000"/>
    <n v="0"/>
    <n v="175000"/>
    <n v="175000"/>
    <n v="175000"/>
    <n v="175000"/>
  </r>
  <r>
    <s v="ORD-1003"/>
    <d v="2025-06-23T00:00:00"/>
    <x v="1"/>
    <x v="1"/>
    <x v="1"/>
    <x v="2"/>
    <x v="2"/>
    <n v="24"/>
    <n v="250"/>
    <n v="0"/>
    <n v="6000"/>
    <n v="0"/>
    <n v="6000"/>
    <n v="6000"/>
    <n v="6000"/>
    <n v="6000"/>
  </r>
  <r>
    <s v="ORD-1004"/>
    <d v="2025-10-13T00:00:00"/>
    <x v="2"/>
    <x v="2"/>
    <x v="1"/>
    <x v="1"/>
    <x v="3"/>
    <n v="5"/>
    <n v="24000"/>
    <n v="0.1"/>
    <n v="120000"/>
    <n v="12000"/>
    <n v="108000"/>
    <n v="108000"/>
    <n v="108000"/>
    <n v="108000"/>
  </r>
  <r>
    <s v="ORD-1005"/>
    <d v="2025-01-17T00:00:00"/>
    <x v="3"/>
    <x v="3"/>
    <x v="1"/>
    <x v="0"/>
    <x v="4"/>
    <n v="22"/>
    <n v="8500"/>
    <n v="0"/>
    <n v="187000"/>
    <n v="0"/>
    <n v="187000"/>
    <n v="187000"/>
    <n v="187000"/>
    <n v="187000"/>
  </r>
  <r>
    <s v="ORD-1006"/>
    <d v="2025-07-30T00:00:00"/>
    <x v="1"/>
    <x v="4"/>
    <x v="2"/>
    <x v="0"/>
    <x v="4"/>
    <n v="25"/>
    <n v="8500"/>
    <n v="0"/>
    <n v="212500"/>
    <n v="0"/>
    <n v="212500"/>
    <n v="212500"/>
    <n v="212500"/>
    <n v="212500"/>
  </r>
  <r>
    <s v="ORD-1007"/>
    <d v="2025-12-22T00:00:00"/>
    <x v="3"/>
    <x v="5"/>
    <x v="1"/>
    <x v="2"/>
    <x v="2"/>
    <n v="15"/>
    <n v="250"/>
    <n v="0"/>
    <n v="3750"/>
    <n v="0"/>
    <n v="3750"/>
    <n v="3750"/>
    <n v="3750"/>
    <n v="3750"/>
  </r>
  <r>
    <s v="ORD-1008"/>
    <d v="2025-07-20T00:00:00"/>
    <x v="2"/>
    <x v="6"/>
    <x v="2"/>
    <x v="0"/>
    <x v="0"/>
    <n v="6"/>
    <n v="1500"/>
    <n v="0"/>
    <n v="9000"/>
    <n v="0"/>
    <n v="9000"/>
    <n v="9000"/>
    <n v="9000"/>
    <n v="9000"/>
  </r>
  <r>
    <s v="ORD-1009"/>
    <d v="2025-06-30T00:00:00"/>
    <x v="2"/>
    <x v="2"/>
    <x v="1"/>
    <x v="2"/>
    <x v="5"/>
    <n v="8"/>
    <n v="600"/>
    <n v="0.15"/>
    <n v="4800"/>
    <n v="720"/>
    <n v="4080"/>
    <n v="4080"/>
    <n v="4080"/>
    <n v="4080"/>
  </r>
  <r>
    <s v="ORD-1010"/>
    <d v="2025-01-22T00:00:00"/>
    <x v="3"/>
    <x v="3"/>
    <x v="2"/>
    <x v="1"/>
    <x v="1"/>
    <n v="7"/>
    <n v="7000"/>
    <n v="0.05"/>
    <n v="49000"/>
    <n v="2450"/>
    <n v="46550"/>
    <n v="46550"/>
    <n v="46550"/>
    <n v="46550"/>
  </r>
  <r>
    <s v="ORD-1011"/>
    <d v="2025-08-03T00:00:00"/>
    <x v="1"/>
    <x v="4"/>
    <x v="0"/>
    <x v="0"/>
    <x v="6"/>
    <n v="12"/>
    <n v="95000"/>
    <n v="0.1"/>
    <n v="1140000"/>
    <n v="114000"/>
    <n v="1026000"/>
    <n v="1026000"/>
    <n v="1026000"/>
    <n v="1026000"/>
  </r>
  <r>
    <s v="ORD-1012"/>
    <d v="2025-06-09T00:00:00"/>
    <x v="0"/>
    <x v="0"/>
    <x v="1"/>
    <x v="0"/>
    <x v="6"/>
    <n v="5"/>
    <n v="95000"/>
    <n v="0.15"/>
    <n v="475000"/>
    <n v="71250"/>
    <n v="403750"/>
    <n v="403750"/>
    <n v="403750"/>
    <n v="403750"/>
  </r>
  <r>
    <s v="ORD-1013"/>
    <d v="2025-11-02T00:00:00"/>
    <x v="1"/>
    <x v="1"/>
    <x v="0"/>
    <x v="1"/>
    <x v="3"/>
    <n v="10"/>
    <n v="24000"/>
    <n v="0"/>
    <n v="240000"/>
    <n v="0"/>
    <n v="240000"/>
    <n v="240000"/>
    <n v="240000"/>
    <n v="240000"/>
  </r>
  <r>
    <s v="ORD-1014"/>
    <d v="2025-01-29T00:00:00"/>
    <x v="2"/>
    <x v="6"/>
    <x v="2"/>
    <x v="0"/>
    <x v="4"/>
    <n v="13"/>
    <n v="8500"/>
    <n v="0.15"/>
    <n v="110500"/>
    <n v="16575"/>
    <n v="93925"/>
    <n v="93925"/>
    <n v="93925"/>
    <n v="93925"/>
  </r>
  <r>
    <s v="ORD-1015"/>
    <d v="2025-01-21T00:00:00"/>
    <x v="0"/>
    <x v="0"/>
    <x v="2"/>
    <x v="0"/>
    <x v="6"/>
    <n v="4"/>
    <n v="95000"/>
    <n v="0.05"/>
    <n v="380000"/>
    <n v="19000"/>
    <n v="361000"/>
    <n v="361000"/>
    <n v="361000"/>
    <n v="361000"/>
  </r>
  <r>
    <s v="ORD-1016"/>
    <d v="2025-11-11T00:00:00"/>
    <x v="3"/>
    <x v="3"/>
    <x v="0"/>
    <x v="2"/>
    <x v="2"/>
    <n v="25"/>
    <n v="250"/>
    <n v="0"/>
    <n v="6250"/>
    <n v="0"/>
    <n v="6250"/>
    <n v="6250"/>
    <n v="6250"/>
    <n v="6250"/>
  </r>
  <r>
    <s v="ORD-1017"/>
    <d v="2025-05-09T00:00:00"/>
    <x v="0"/>
    <x v="7"/>
    <x v="2"/>
    <x v="1"/>
    <x v="7"/>
    <n v="21"/>
    <n v="12000"/>
    <n v="0"/>
    <n v="252000"/>
    <n v="0"/>
    <n v="252000"/>
    <n v="252000"/>
    <n v="252000"/>
    <n v="252000"/>
  </r>
  <r>
    <s v="ORD-1018"/>
    <d v="2025-11-08T00:00:00"/>
    <x v="2"/>
    <x v="2"/>
    <x v="0"/>
    <x v="1"/>
    <x v="1"/>
    <n v="9"/>
    <n v="7000"/>
    <n v="0"/>
    <n v="63000"/>
    <n v="0"/>
    <n v="63000"/>
    <n v="63000"/>
    <n v="63000"/>
    <n v="63000"/>
  </r>
  <r>
    <s v="ORD-1019"/>
    <d v="2025-09-19T00:00:00"/>
    <x v="0"/>
    <x v="8"/>
    <x v="2"/>
    <x v="1"/>
    <x v="7"/>
    <n v="14"/>
    <n v="12000"/>
    <n v="0"/>
    <n v="168000"/>
    <n v="0"/>
    <n v="168000"/>
    <n v="168000"/>
    <n v="168000"/>
    <n v="168000"/>
  </r>
  <r>
    <s v="ORD-1020"/>
    <d v="2025-05-17T00:00:00"/>
    <x v="0"/>
    <x v="8"/>
    <x v="0"/>
    <x v="1"/>
    <x v="3"/>
    <n v="25"/>
    <n v="24000"/>
    <n v="0"/>
    <n v="600000"/>
    <n v="0"/>
    <n v="600000"/>
    <n v="600000"/>
    <n v="600000"/>
    <n v="600000"/>
  </r>
  <r>
    <s v="ORD-1021"/>
    <d v="2025-03-30T00:00:00"/>
    <x v="0"/>
    <x v="0"/>
    <x v="2"/>
    <x v="1"/>
    <x v="1"/>
    <n v="19"/>
    <n v="7000"/>
    <n v="0.15"/>
    <n v="133000"/>
    <n v="19950"/>
    <n v="113050"/>
    <n v="113050"/>
    <n v="113050"/>
    <n v="113050"/>
  </r>
  <r>
    <s v="ORD-1022"/>
    <d v="2025-07-30T00:00:00"/>
    <x v="2"/>
    <x v="6"/>
    <x v="0"/>
    <x v="2"/>
    <x v="5"/>
    <n v="24"/>
    <n v="600"/>
    <n v="0"/>
    <n v="14400"/>
    <n v="0"/>
    <n v="14400"/>
    <n v="14400"/>
    <n v="14400"/>
    <n v="14400"/>
  </r>
  <r>
    <s v="ORD-1023"/>
    <d v="2025-02-06T00:00:00"/>
    <x v="3"/>
    <x v="5"/>
    <x v="0"/>
    <x v="1"/>
    <x v="7"/>
    <n v="8"/>
    <n v="12000"/>
    <n v="0"/>
    <n v="96000"/>
    <n v="0"/>
    <n v="96000"/>
    <n v="96000"/>
    <n v="96000"/>
    <n v="96000"/>
  </r>
  <r>
    <s v="ORD-1024"/>
    <d v="2025-09-30T00:00:00"/>
    <x v="1"/>
    <x v="4"/>
    <x v="1"/>
    <x v="1"/>
    <x v="7"/>
    <n v="12"/>
    <n v="12000"/>
    <n v="0.1"/>
    <n v="144000"/>
    <n v="14400"/>
    <n v="129600"/>
    <n v="129600"/>
    <n v="129600"/>
    <n v="129600"/>
  </r>
  <r>
    <s v="ORD-1025"/>
    <d v="2025-04-22T00:00:00"/>
    <x v="2"/>
    <x v="6"/>
    <x v="1"/>
    <x v="0"/>
    <x v="4"/>
    <n v="1"/>
    <n v="8500"/>
    <n v="0"/>
    <n v="8500"/>
    <n v="0"/>
    <n v="8500"/>
    <n v="8500"/>
    <n v="8500"/>
    <n v="8500"/>
  </r>
  <r>
    <s v="ORD-1026"/>
    <d v="2025-09-27T00:00:00"/>
    <x v="2"/>
    <x v="6"/>
    <x v="1"/>
    <x v="0"/>
    <x v="6"/>
    <n v="9"/>
    <n v="95000"/>
    <n v="0"/>
    <n v="855000"/>
    <n v="0"/>
    <n v="855000"/>
    <n v="855000"/>
    <n v="855000"/>
    <n v="855000"/>
  </r>
  <r>
    <s v="ORD-1027"/>
    <d v="2025-04-09T00:00:00"/>
    <x v="2"/>
    <x v="2"/>
    <x v="1"/>
    <x v="1"/>
    <x v="1"/>
    <n v="24"/>
    <n v="7000"/>
    <n v="0"/>
    <n v="168000"/>
    <n v="0"/>
    <n v="168000"/>
    <n v="168000"/>
    <n v="168000"/>
    <n v="168000"/>
  </r>
  <r>
    <s v="ORD-1028"/>
    <d v="2025-03-23T00:00:00"/>
    <x v="0"/>
    <x v="8"/>
    <x v="0"/>
    <x v="0"/>
    <x v="0"/>
    <n v="1"/>
    <n v="1500"/>
    <n v="0.05"/>
    <n v="1500"/>
    <n v="75"/>
    <n v="1425"/>
    <n v="1425"/>
    <n v="1425"/>
    <n v="1425"/>
  </r>
  <r>
    <s v="ORD-1029"/>
    <d v="2025-04-16T00:00:00"/>
    <x v="2"/>
    <x v="2"/>
    <x v="2"/>
    <x v="2"/>
    <x v="2"/>
    <n v="14"/>
    <n v="250"/>
    <n v="0"/>
    <n v="3500"/>
    <n v="0"/>
    <n v="3500"/>
    <n v="3500"/>
    <n v="3500"/>
    <n v="3500"/>
  </r>
  <r>
    <s v="ORD-1030"/>
    <d v="2025-04-06T00:00:00"/>
    <x v="2"/>
    <x v="2"/>
    <x v="0"/>
    <x v="1"/>
    <x v="1"/>
    <n v="14"/>
    <n v="7000"/>
    <n v="0"/>
    <n v="98000"/>
    <n v="0"/>
    <n v="98000"/>
    <n v="98000"/>
    <n v="98000"/>
    <n v="98000"/>
  </r>
  <r>
    <s v="ORD-1031"/>
    <d v="2025-12-14T00:00:00"/>
    <x v="1"/>
    <x v="1"/>
    <x v="2"/>
    <x v="2"/>
    <x v="8"/>
    <n v="12"/>
    <n v="350"/>
    <n v="0"/>
    <n v="4200"/>
    <n v="0"/>
    <n v="4200"/>
    <n v="4200"/>
    <n v="4200"/>
    <n v="4200"/>
  </r>
  <r>
    <s v="ORD-1032"/>
    <d v="2025-06-19T00:00:00"/>
    <x v="1"/>
    <x v="4"/>
    <x v="0"/>
    <x v="1"/>
    <x v="1"/>
    <n v="5"/>
    <n v="7000"/>
    <n v="0.1"/>
    <n v="35000"/>
    <n v="3500"/>
    <n v="31500"/>
    <n v="31500"/>
    <n v="31500"/>
    <n v="31500"/>
  </r>
  <r>
    <s v="ORD-1033"/>
    <d v="2025-10-22T00:00:00"/>
    <x v="2"/>
    <x v="6"/>
    <x v="2"/>
    <x v="1"/>
    <x v="3"/>
    <n v="3"/>
    <n v="24000"/>
    <n v="0.1"/>
    <n v="72000"/>
    <n v="7200"/>
    <n v="64800"/>
    <n v="64800"/>
    <n v="64800"/>
    <n v="64800"/>
  </r>
  <r>
    <s v="ORD-1034"/>
    <d v="2025-05-06T00:00:00"/>
    <x v="3"/>
    <x v="3"/>
    <x v="2"/>
    <x v="2"/>
    <x v="5"/>
    <n v="19"/>
    <n v="600"/>
    <n v="0.05"/>
    <n v="11400"/>
    <n v="570"/>
    <n v="10830"/>
    <n v="10830"/>
    <n v="10830"/>
    <n v="10830"/>
  </r>
  <r>
    <s v="ORD-1035"/>
    <d v="2025-02-03T00:00:00"/>
    <x v="3"/>
    <x v="5"/>
    <x v="1"/>
    <x v="1"/>
    <x v="7"/>
    <n v="2"/>
    <n v="12000"/>
    <n v="0.05"/>
    <n v="24000"/>
    <n v="1200"/>
    <n v="22800"/>
    <n v="22800"/>
    <n v="22800"/>
    <n v="22800"/>
  </r>
  <r>
    <s v="ORD-1036"/>
    <d v="2025-09-23T00:00:00"/>
    <x v="2"/>
    <x v="6"/>
    <x v="2"/>
    <x v="0"/>
    <x v="0"/>
    <n v="10"/>
    <n v="1500"/>
    <n v="0.1"/>
    <n v="15000"/>
    <n v="1500"/>
    <n v="13500"/>
    <n v="13500"/>
    <n v="13500"/>
    <n v="13500"/>
  </r>
  <r>
    <s v="ORD-1037"/>
    <d v="2025-08-22T00:00:00"/>
    <x v="1"/>
    <x v="1"/>
    <x v="0"/>
    <x v="0"/>
    <x v="6"/>
    <n v="6"/>
    <n v="95000"/>
    <n v="0"/>
    <n v="570000"/>
    <n v="0"/>
    <n v="570000"/>
    <n v="570000"/>
    <n v="570000"/>
    <n v="570000"/>
  </r>
  <r>
    <s v="ORD-1038"/>
    <d v="2025-05-29T00:00:00"/>
    <x v="0"/>
    <x v="8"/>
    <x v="0"/>
    <x v="2"/>
    <x v="5"/>
    <n v="7"/>
    <n v="600"/>
    <n v="0.05"/>
    <n v="4200"/>
    <n v="210"/>
    <n v="3990"/>
    <n v="3990"/>
    <n v="3990"/>
    <n v="3990"/>
  </r>
  <r>
    <s v="ORD-1039"/>
    <d v="2025-05-28T00:00:00"/>
    <x v="3"/>
    <x v="3"/>
    <x v="2"/>
    <x v="0"/>
    <x v="4"/>
    <n v="16"/>
    <n v="8500"/>
    <n v="0.15"/>
    <n v="136000"/>
    <n v="20400"/>
    <n v="115600"/>
    <n v="115600"/>
    <n v="115600"/>
    <n v="115600"/>
  </r>
  <r>
    <s v="ORD-1040"/>
    <d v="2025-11-22T00:00:00"/>
    <x v="0"/>
    <x v="8"/>
    <x v="0"/>
    <x v="0"/>
    <x v="4"/>
    <n v="13"/>
    <n v="8500"/>
    <n v="0"/>
    <n v="110500"/>
    <n v="0"/>
    <n v="110500"/>
    <n v="110500"/>
    <n v="110500"/>
    <n v="110500"/>
  </r>
  <r>
    <s v="ORD-1041"/>
    <d v="2025-06-24T00:00:00"/>
    <x v="1"/>
    <x v="1"/>
    <x v="2"/>
    <x v="2"/>
    <x v="5"/>
    <n v="16"/>
    <n v="600"/>
    <n v="0.1"/>
    <n v="9600"/>
    <n v="960"/>
    <n v="8640"/>
    <n v="8640"/>
    <n v="8640"/>
    <n v="8640"/>
  </r>
  <r>
    <s v="ORD-1042"/>
    <d v="2025-09-04T00:00:00"/>
    <x v="1"/>
    <x v="4"/>
    <x v="0"/>
    <x v="1"/>
    <x v="7"/>
    <n v="12"/>
    <n v="12000"/>
    <n v="0"/>
    <n v="144000"/>
    <n v="0"/>
    <n v="144000"/>
    <n v="144000"/>
    <n v="144000"/>
    <n v="144000"/>
  </r>
  <r>
    <s v="ORD-1043"/>
    <d v="2025-09-23T00:00:00"/>
    <x v="2"/>
    <x v="6"/>
    <x v="0"/>
    <x v="1"/>
    <x v="7"/>
    <n v="11"/>
    <n v="12000"/>
    <n v="0"/>
    <n v="132000"/>
    <n v="0"/>
    <n v="132000"/>
    <n v="132000"/>
    <n v="132000"/>
    <n v="132000"/>
  </r>
  <r>
    <s v="ORD-1044"/>
    <d v="2025-06-02T00:00:00"/>
    <x v="0"/>
    <x v="8"/>
    <x v="0"/>
    <x v="2"/>
    <x v="5"/>
    <n v="8"/>
    <n v="600"/>
    <n v="0.05"/>
    <n v="4800"/>
    <n v="240"/>
    <n v="4560"/>
    <n v="4560"/>
    <n v="4560"/>
    <n v="4560"/>
  </r>
  <r>
    <s v="ORD-1045"/>
    <d v="2025-11-15T00:00:00"/>
    <x v="3"/>
    <x v="3"/>
    <x v="2"/>
    <x v="0"/>
    <x v="0"/>
    <n v="11"/>
    <n v="1500"/>
    <n v="0.05"/>
    <n v="16500"/>
    <n v="825"/>
    <n v="15675"/>
    <n v="15675"/>
    <n v="15675"/>
    <n v="15675"/>
  </r>
  <r>
    <s v="ORD-1046"/>
    <d v="2025-04-23T00:00:00"/>
    <x v="0"/>
    <x v="0"/>
    <x v="1"/>
    <x v="1"/>
    <x v="1"/>
    <n v="19"/>
    <n v="7000"/>
    <n v="0.1"/>
    <n v="133000"/>
    <n v="13300"/>
    <n v="119700"/>
    <n v="119700"/>
    <n v="119700"/>
    <n v="119700"/>
  </r>
  <r>
    <s v="ORD-1047"/>
    <d v="2025-01-07T00:00:00"/>
    <x v="3"/>
    <x v="3"/>
    <x v="0"/>
    <x v="0"/>
    <x v="4"/>
    <n v="15"/>
    <n v="8500"/>
    <n v="0"/>
    <n v="127500"/>
    <n v="0"/>
    <n v="127500"/>
    <n v="127500"/>
    <n v="127500"/>
    <n v="127500"/>
  </r>
  <r>
    <s v="ORD-1048"/>
    <d v="2025-03-17T00:00:00"/>
    <x v="0"/>
    <x v="8"/>
    <x v="0"/>
    <x v="0"/>
    <x v="4"/>
    <n v="8"/>
    <n v="8500"/>
    <n v="0"/>
    <n v="68000"/>
    <n v="0"/>
    <n v="68000"/>
    <n v="68000"/>
    <n v="68000"/>
    <n v="68000"/>
  </r>
  <r>
    <s v="ORD-1049"/>
    <d v="2025-04-01T00:00:00"/>
    <x v="1"/>
    <x v="1"/>
    <x v="2"/>
    <x v="1"/>
    <x v="3"/>
    <n v="5"/>
    <n v="24000"/>
    <n v="0"/>
    <n v="120000"/>
    <n v="0"/>
    <n v="120000"/>
    <n v="120000"/>
    <n v="120000"/>
    <n v="120000"/>
  </r>
  <r>
    <s v="ORD-1050"/>
    <d v="2025-03-14T00:00:00"/>
    <x v="3"/>
    <x v="3"/>
    <x v="2"/>
    <x v="0"/>
    <x v="6"/>
    <n v="16"/>
    <n v="95000"/>
    <n v="0"/>
    <n v="1520000"/>
    <n v="0"/>
    <n v="1520000"/>
    <n v="1520000"/>
    <n v="1520000"/>
    <n v="1520000"/>
  </r>
  <r>
    <s v="ORD-1051"/>
    <d v="2025-05-08T00:00:00"/>
    <x v="2"/>
    <x v="6"/>
    <x v="2"/>
    <x v="1"/>
    <x v="1"/>
    <n v="9"/>
    <n v="7000"/>
    <n v="0.1"/>
    <n v="63000"/>
    <n v="6300"/>
    <n v="56700"/>
    <n v="56700"/>
    <n v="56700"/>
    <n v="56700"/>
  </r>
  <r>
    <s v="ORD-1052"/>
    <d v="2025-06-10T00:00:00"/>
    <x v="2"/>
    <x v="6"/>
    <x v="1"/>
    <x v="0"/>
    <x v="6"/>
    <n v="16"/>
    <n v="95000"/>
    <n v="0.15"/>
    <n v="1520000"/>
    <n v="228000"/>
    <n v="1292000"/>
    <n v="1292000"/>
    <n v="1292000"/>
    <n v="1292000"/>
  </r>
  <r>
    <s v="ORD-1053"/>
    <d v="2025-02-28T00:00:00"/>
    <x v="2"/>
    <x v="2"/>
    <x v="2"/>
    <x v="0"/>
    <x v="4"/>
    <n v="19"/>
    <n v="8500"/>
    <n v="0.05"/>
    <n v="161500"/>
    <n v="8075"/>
    <n v="153425"/>
    <n v="153425"/>
    <n v="153425"/>
    <n v="153425"/>
  </r>
  <r>
    <s v="ORD-1054"/>
    <d v="2025-06-12T00:00:00"/>
    <x v="0"/>
    <x v="8"/>
    <x v="0"/>
    <x v="2"/>
    <x v="2"/>
    <n v="4"/>
    <n v="250"/>
    <n v="0.05"/>
    <n v="1000"/>
    <n v="50"/>
    <n v="950"/>
    <n v="950"/>
    <n v="950"/>
    <n v="950"/>
  </r>
  <r>
    <s v="ORD-1055"/>
    <d v="2025-11-07T00:00:00"/>
    <x v="2"/>
    <x v="6"/>
    <x v="1"/>
    <x v="1"/>
    <x v="3"/>
    <n v="11"/>
    <n v="24000"/>
    <n v="0.05"/>
    <n v="264000"/>
    <n v="13200"/>
    <n v="250800"/>
    <n v="250800"/>
    <n v="250800"/>
    <n v="250800"/>
  </r>
  <r>
    <s v="ORD-1056"/>
    <d v="2025-03-31T00:00:00"/>
    <x v="0"/>
    <x v="0"/>
    <x v="1"/>
    <x v="0"/>
    <x v="0"/>
    <n v="20"/>
    <n v="1500"/>
    <n v="0.05"/>
    <n v="30000"/>
    <n v="1500"/>
    <n v="28500"/>
    <n v="28500"/>
    <n v="28500"/>
    <n v="28500"/>
  </r>
  <r>
    <s v="ORD-1057"/>
    <d v="2025-09-20T00:00:00"/>
    <x v="3"/>
    <x v="5"/>
    <x v="1"/>
    <x v="1"/>
    <x v="7"/>
    <n v="25"/>
    <n v="12000"/>
    <n v="0"/>
    <n v="300000"/>
    <n v="0"/>
    <n v="300000"/>
    <n v="300000"/>
    <n v="300000"/>
    <n v="300000"/>
  </r>
  <r>
    <s v="ORD-1058"/>
    <d v="2025-02-15T00:00:00"/>
    <x v="2"/>
    <x v="6"/>
    <x v="0"/>
    <x v="2"/>
    <x v="5"/>
    <n v="1"/>
    <n v="600"/>
    <n v="0"/>
    <n v="600"/>
    <n v="0"/>
    <n v="600"/>
    <n v="600"/>
    <n v="600"/>
    <n v="600"/>
  </r>
  <r>
    <s v="ORD-1059"/>
    <d v="2025-07-06T00:00:00"/>
    <x v="1"/>
    <x v="4"/>
    <x v="0"/>
    <x v="0"/>
    <x v="0"/>
    <n v="13"/>
    <n v="1500"/>
    <n v="0.05"/>
    <n v="19500"/>
    <n v="975"/>
    <n v="18525"/>
    <n v="18525"/>
    <n v="18525"/>
    <n v="18525"/>
  </r>
  <r>
    <s v="ORD-1060"/>
    <d v="2025-02-25T00:00:00"/>
    <x v="2"/>
    <x v="2"/>
    <x v="1"/>
    <x v="2"/>
    <x v="8"/>
    <n v="20"/>
    <n v="350"/>
    <n v="0.1"/>
    <n v="7000"/>
    <n v="700"/>
    <n v="6300"/>
    <n v="6300"/>
    <n v="6300"/>
    <n v="6300"/>
  </r>
  <r>
    <s v="ORD-1061"/>
    <d v="2025-12-16T00:00:00"/>
    <x v="1"/>
    <x v="4"/>
    <x v="1"/>
    <x v="2"/>
    <x v="8"/>
    <n v="24"/>
    <n v="350"/>
    <n v="0.1"/>
    <n v="8400"/>
    <n v="840"/>
    <n v="7560"/>
    <n v="7560"/>
    <n v="7560"/>
    <n v="7560"/>
  </r>
  <r>
    <s v="ORD-1062"/>
    <d v="2025-01-04T00:00:00"/>
    <x v="2"/>
    <x v="2"/>
    <x v="0"/>
    <x v="1"/>
    <x v="7"/>
    <n v="15"/>
    <n v="12000"/>
    <n v="0.05"/>
    <n v="180000"/>
    <n v="9000"/>
    <n v="171000"/>
    <n v="171000"/>
    <n v="171000"/>
    <n v="171000"/>
  </r>
  <r>
    <s v="ORD-1063"/>
    <d v="2025-02-16T00:00:00"/>
    <x v="1"/>
    <x v="1"/>
    <x v="0"/>
    <x v="0"/>
    <x v="4"/>
    <n v="4"/>
    <n v="8500"/>
    <n v="0.05"/>
    <n v="34000"/>
    <n v="1700"/>
    <n v="32300"/>
    <n v="32300"/>
    <n v="32300"/>
    <n v="32300"/>
  </r>
  <r>
    <s v="ORD-1064"/>
    <d v="2025-07-01T00:00:00"/>
    <x v="0"/>
    <x v="0"/>
    <x v="2"/>
    <x v="1"/>
    <x v="7"/>
    <n v="9"/>
    <n v="12000"/>
    <n v="0"/>
    <n v="108000"/>
    <n v="0"/>
    <n v="108000"/>
    <n v="108000"/>
    <n v="108000"/>
    <n v="108000"/>
  </r>
  <r>
    <s v="ORD-1065"/>
    <d v="2025-06-15T00:00:00"/>
    <x v="1"/>
    <x v="1"/>
    <x v="1"/>
    <x v="0"/>
    <x v="0"/>
    <n v="7"/>
    <n v="1500"/>
    <n v="0.1"/>
    <n v="10500"/>
    <n v="1050"/>
    <n v="9450"/>
    <n v="9450"/>
    <n v="9450"/>
    <n v="9450"/>
  </r>
  <r>
    <s v="ORD-1066"/>
    <d v="2025-08-12T00:00:00"/>
    <x v="3"/>
    <x v="5"/>
    <x v="1"/>
    <x v="1"/>
    <x v="3"/>
    <n v="25"/>
    <n v="24000"/>
    <n v="0.05"/>
    <n v="600000"/>
    <n v="30000"/>
    <n v="570000"/>
    <n v="570000"/>
    <n v="570000"/>
    <n v="570000"/>
  </r>
  <r>
    <s v="ORD-1067"/>
    <d v="2025-12-22T00:00:00"/>
    <x v="2"/>
    <x v="2"/>
    <x v="1"/>
    <x v="2"/>
    <x v="2"/>
    <n v="13"/>
    <n v="250"/>
    <n v="0"/>
    <n v="3250"/>
    <n v="0"/>
    <n v="3250"/>
    <n v="3250"/>
    <n v="3250"/>
    <n v="3250"/>
  </r>
  <r>
    <s v="ORD-1068"/>
    <d v="2025-05-10T00:00:00"/>
    <x v="0"/>
    <x v="8"/>
    <x v="1"/>
    <x v="0"/>
    <x v="4"/>
    <n v="8"/>
    <n v="8500"/>
    <n v="0"/>
    <n v="68000"/>
    <n v="0"/>
    <n v="68000"/>
    <n v="68000"/>
    <n v="68000"/>
    <n v="68000"/>
  </r>
  <r>
    <s v="ORD-1069"/>
    <d v="2025-07-12T00:00:00"/>
    <x v="1"/>
    <x v="1"/>
    <x v="1"/>
    <x v="2"/>
    <x v="5"/>
    <n v="12"/>
    <n v="600"/>
    <n v="0.1"/>
    <n v="7200"/>
    <n v="720"/>
    <n v="6480"/>
    <n v="6480"/>
    <n v="6480"/>
    <n v="6480"/>
  </r>
  <r>
    <s v="ORD-1070"/>
    <d v="2025-12-14T00:00:00"/>
    <x v="1"/>
    <x v="4"/>
    <x v="2"/>
    <x v="0"/>
    <x v="0"/>
    <n v="4"/>
    <n v="1500"/>
    <n v="0.1"/>
    <n v="6000"/>
    <n v="600"/>
    <n v="5400"/>
    <n v="5400"/>
    <n v="5400"/>
    <n v="5400"/>
  </r>
  <r>
    <s v="ORD-1071"/>
    <d v="2025-10-31T00:00:00"/>
    <x v="1"/>
    <x v="1"/>
    <x v="0"/>
    <x v="1"/>
    <x v="7"/>
    <n v="8"/>
    <n v="12000"/>
    <n v="0.05"/>
    <n v="96000"/>
    <n v="4800"/>
    <n v="91200"/>
    <n v="91200"/>
    <n v="91200"/>
    <n v="91200"/>
  </r>
  <r>
    <s v="ORD-1072"/>
    <d v="2025-01-21T00:00:00"/>
    <x v="3"/>
    <x v="3"/>
    <x v="0"/>
    <x v="1"/>
    <x v="7"/>
    <n v="15"/>
    <n v="12000"/>
    <n v="0.05"/>
    <n v="180000"/>
    <n v="9000"/>
    <n v="171000"/>
    <n v="171000"/>
    <n v="171000"/>
    <n v="171000"/>
  </r>
  <r>
    <s v="ORD-1073"/>
    <d v="2025-12-21T00:00:00"/>
    <x v="3"/>
    <x v="5"/>
    <x v="1"/>
    <x v="0"/>
    <x v="4"/>
    <n v="17"/>
    <n v="8500"/>
    <n v="0.1"/>
    <n v="144500"/>
    <n v="14450"/>
    <n v="130050"/>
    <n v="130050"/>
    <n v="130050"/>
    <n v="130050"/>
  </r>
  <r>
    <s v="ORD-1074"/>
    <d v="2025-02-18T00:00:00"/>
    <x v="3"/>
    <x v="3"/>
    <x v="2"/>
    <x v="0"/>
    <x v="0"/>
    <n v="2"/>
    <n v="1500"/>
    <n v="0.1"/>
    <n v="3000"/>
    <n v="300"/>
    <n v="2700"/>
    <n v="2700"/>
    <n v="2700"/>
    <n v="2700"/>
  </r>
  <r>
    <s v="ORD-1075"/>
    <d v="2025-02-16T00:00:00"/>
    <x v="1"/>
    <x v="1"/>
    <x v="1"/>
    <x v="2"/>
    <x v="8"/>
    <n v="5"/>
    <n v="350"/>
    <n v="0.1"/>
    <n v="1750"/>
    <n v="175"/>
    <n v="1575"/>
    <n v="1575"/>
    <n v="1575"/>
    <n v="1575"/>
  </r>
  <r>
    <s v="ORD-1076"/>
    <d v="2025-04-10T00:00:00"/>
    <x v="0"/>
    <x v="0"/>
    <x v="2"/>
    <x v="0"/>
    <x v="6"/>
    <n v="8"/>
    <n v="95000"/>
    <n v="0"/>
    <n v="760000"/>
    <n v="0"/>
    <n v="760000"/>
    <n v="760000"/>
    <n v="760000"/>
    <n v="760000"/>
  </r>
  <r>
    <s v="ORD-1077"/>
    <d v="2025-09-14T00:00:00"/>
    <x v="1"/>
    <x v="1"/>
    <x v="2"/>
    <x v="0"/>
    <x v="4"/>
    <n v="10"/>
    <n v="8500"/>
    <n v="0.1"/>
    <n v="85000"/>
    <n v="8500"/>
    <n v="76500"/>
    <n v="76500"/>
    <n v="76500"/>
    <n v="76500"/>
  </r>
  <r>
    <s v="ORD-1078"/>
    <d v="2025-11-28T00:00:00"/>
    <x v="0"/>
    <x v="0"/>
    <x v="2"/>
    <x v="1"/>
    <x v="1"/>
    <n v="3"/>
    <n v="7000"/>
    <n v="0"/>
    <n v="21000"/>
    <n v="0"/>
    <n v="21000"/>
    <n v="21000"/>
    <n v="21000"/>
    <n v="21000"/>
  </r>
  <r>
    <s v="ORD-1079"/>
    <d v="2025-12-13T00:00:00"/>
    <x v="1"/>
    <x v="4"/>
    <x v="1"/>
    <x v="1"/>
    <x v="3"/>
    <n v="21"/>
    <n v="24000"/>
    <n v="0.1"/>
    <n v="504000"/>
    <n v="50400"/>
    <n v="453600"/>
    <n v="453600"/>
    <n v="453600"/>
    <n v="453600"/>
  </r>
  <r>
    <s v="ORD-1080"/>
    <d v="2025-10-09T00:00:00"/>
    <x v="1"/>
    <x v="4"/>
    <x v="1"/>
    <x v="0"/>
    <x v="4"/>
    <n v="18"/>
    <n v="8500"/>
    <n v="0.05"/>
    <n v="153000"/>
    <n v="7650"/>
    <n v="145350"/>
    <n v="145350"/>
    <n v="145350"/>
    <n v="145350"/>
  </r>
  <r>
    <s v="ORD-1081"/>
    <d v="2025-03-23T00:00:00"/>
    <x v="3"/>
    <x v="3"/>
    <x v="0"/>
    <x v="0"/>
    <x v="6"/>
    <n v="17"/>
    <n v="95000"/>
    <n v="0"/>
    <n v="1615000"/>
    <n v="0"/>
    <n v="1615000"/>
    <n v="1615000"/>
    <n v="1615000"/>
    <n v="1615000"/>
  </r>
  <r>
    <s v="ORD-1082"/>
    <d v="2025-04-22T00:00:00"/>
    <x v="0"/>
    <x v="0"/>
    <x v="0"/>
    <x v="1"/>
    <x v="1"/>
    <n v="20"/>
    <n v="7000"/>
    <n v="0"/>
    <n v="140000"/>
    <n v="0"/>
    <n v="140000"/>
    <n v="140000"/>
    <n v="140000"/>
    <n v="140000"/>
  </r>
  <r>
    <s v="ORD-1083"/>
    <d v="2025-12-15T00:00:00"/>
    <x v="2"/>
    <x v="2"/>
    <x v="1"/>
    <x v="0"/>
    <x v="0"/>
    <n v="17"/>
    <n v="1500"/>
    <n v="0"/>
    <n v="25500"/>
    <n v="0"/>
    <n v="25500"/>
    <n v="25500"/>
    <n v="25500"/>
    <n v="25500"/>
  </r>
  <r>
    <s v="ORD-1084"/>
    <d v="2025-08-07T00:00:00"/>
    <x v="1"/>
    <x v="4"/>
    <x v="0"/>
    <x v="0"/>
    <x v="0"/>
    <n v="25"/>
    <n v="1500"/>
    <n v="0.1"/>
    <n v="37500"/>
    <n v="3750"/>
    <n v="33750"/>
    <n v="33750"/>
    <n v="33750"/>
    <n v="33750"/>
  </r>
  <r>
    <s v="ORD-1085"/>
    <d v="2025-07-25T00:00:00"/>
    <x v="3"/>
    <x v="5"/>
    <x v="0"/>
    <x v="2"/>
    <x v="5"/>
    <n v="7"/>
    <n v="600"/>
    <n v="0.1"/>
    <n v="4200"/>
    <n v="420"/>
    <n v="3780"/>
    <n v="3780"/>
    <n v="3780"/>
    <n v="3780"/>
  </r>
  <r>
    <s v="ORD-1086"/>
    <d v="2025-06-06T00:00:00"/>
    <x v="3"/>
    <x v="5"/>
    <x v="1"/>
    <x v="1"/>
    <x v="7"/>
    <n v="7"/>
    <n v="12000"/>
    <n v="0.1"/>
    <n v="84000"/>
    <n v="8400"/>
    <n v="75600"/>
    <n v="75600"/>
    <n v="75600"/>
    <n v="75600"/>
  </r>
  <r>
    <s v="ORD-1087"/>
    <d v="2025-02-04T00:00:00"/>
    <x v="3"/>
    <x v="5"/>
    <x v="0"/>
    <x v="1"/>
    <x v="1"/>
    <n v="9"/>
    <n v="7000"/>
    <n v="0.05"/>
    <n v="63000"/>
    <n v="3150"/>
    <n v="59850"/>
    <n v="59850"/>
    <n v="59850"/>
    <n v="59850"/>
  </r>
  <r>
    <s v="ORD-1088"/>
    <d v="2025-03-27T00:00:00"/>
    <x v="2"/>
    <x v="2"/>
    <x v="0"/>
    <x v="2"/>
    <x v="5"/>
    <n v="22"/>
    <n v="600"/>
    <n v="0"/>
    <n v="13200"/>
    <n v="0"/>
    <n v="13200"/>
    <n v="13200"/>
    <n v="13200"/>
    <n v="13200"/>
  </r>
  <r>
    <s v="ORD-1089"/>
    <d v="2025-10-20T00:00:00"/>
    <x v="1"/>
    <x v="1"/>
    <x v="1"/>
    <x v="2"/>
    <x v="8"/>
    <n v="16"/>
    <n v="350"/>
    <n v="0"/>
    <n v="5600"/>
    <n v="0"/>
    <n v="5600"/>
    <n v="5600"/>
    <n v="5600"/>
    <n v="5600"/>
  </r>
  <r>
    <s v="ORD-1090"/>
    <d v="2025-08-06T00:00:00"/>
    <x v="1"/>
    <x v="4"/>
    <x v="1"/>
    <x v="0"/>
    <x v="0"/>
    <n v="5"/>
    <n v="1500"/>
    <n v="0.15"/>
    <n v="7500"/>
    <n v="1125"/>
    <n v="6375"/>
    <n v="6375"/>
    <n v="6375"/>
    <n v="6375"/>
  </r>
  <r>
    <s v="ORD-1091"/>
    <d v="2025-08-05T00:00:00"/>
    <x v="2"/>
    <x v="6"/>
    <x v="1"/>
    <x v="0"/>
    <x v="0"/>
    <n v="21"/>
    <n v="1500"/>
    <n v="0"/>
    <n v="31500"/>
    <n v="0"/>
    <n v="31500"/>
    <n v="31500"/>
    <n v="31500"/>
    <n v="31500"/>
  </r>
  <r>
    <s v="ORD-1092"/>
    <d v="2025-02-25T00:00:00"/>
    <x v="3"/>
    <x v="5"/>
    <x v="0"/>
    <x v="0"/>
    <x v="4"/>
    <n v="22"/>
    <n v="8500"/>
    <n v="0"/>
    <n v="187000"/>
    <n v="0"/>
    <n v="187000"/>
    <n v="187000"/>
    <n v="187000"/>
    <n v="187000"/>
  </r>
  <r>
    <s v="ORD-1093"/>
    <d v="2025-07-08T00:00:00"/>
    <x v="0"/>
    <x v="8"/>
    <x v="0"/>
    <x v="2"/>
    <x v="5"/>
    <n v="17"/>
    <n v="600"/>
    <n v="0.1"/>
    <n v="10200"/>
    <n v="1020"/>
    <n v="9180"/>
    <n v="9180"/>
    <n v="9180"/>
    <n v="9180"/>
  </r>
  <r>
    <s v="ORD-1094"/>
    <d v="2025-05-07T00:00:00"/>
    <x v="1"/>
    <x v="4"/>
    <x v="2"/>
    <x v="0"/>
    <x v="0"/>
    <n v="15"/>
    <n v="1500"/>
    <n v="0"/>
    <n v="22500"/>
    <n v="0"/>
    <n v="22500"/>
    <n v="22500"/>
    <n v="22500"/>
    <n v="22500"/>
  </r>
  <r>
    <s v="ORD-1095"/>
    <d v="2025-02-01T00:00:00"/>
    <x v="1"/>
    <x v="1"/>
    <x v="0"/>
    <x v="0"/>
    <x v="0"/>
    <n v="7"/>
    <n v="1500"/>
    <n v="0"/>
    <n v="10500"/>
    <n v="0"/>
    <n v="10500"/>
    <n v="10500"/>
    <n v="10500"/>
    <n v="10500"/>
  </r>
  <r>
    <s v="ORD-1096"/>
    <d v="2025-08-09T00:00:00"/>
    <x v="1"/>
    <x v="1"/>
    <x v="2"/>
    <x v="2"/>
    <x v="5"/>
    <n v="14"/>
    <n v="600"/>
    <n v="0.15"/>
    <n v="8400"/>
    <n v="1260"/>
    <n v="7140"/>
    <n v="7140"/>
    <n v="7140"/>
    <n v="7140"/>
  </r>
  <r>
    <s v="ORD-1097"/>
    <d v="2025-03-27T00:00:00"/>
    <x v="3"/>
    <x v="5"/>
    <x v="0"/>
    <x v="2"/>
    <x v="8"/>
    <n v="5"/>
    <n v="350"/>
    <n v="0"/>
    <n v="1750"/>
    <n v="0"/>
    <n v="1750"/>
    <n v="1750"/>
    <n v="1750"/>
    <n v="1750"/>
  </r>
  <r>
    <s v="ORD-1098"/>
    <d v="2025-06-01T00:00:00"/>
    <x v="3"/>
    <x v="5"/>
    <x v="0"/>
    <x v="2"/>
    <x v="5"/>
    <n v="19"/>
    <n v="600"/>
    <n v="0"/>
    <n v="11400"/>
    <n v="0"/>
    <n v="11400"/>
    <n v="11400"/>
    <n v="11400"/>
    <n v="11400"/>
  </r>
  <r>
    <s v="ORD-1099"/>
    <d v="2025-01-11T00:00:00"/>
    <x v="1"/>
    <x v="4"/>
    <x v="1"/>
    <x v="2"/>
    <x v="5"/>
    <n v="14"/>
    <n v="600"/>
    <n v="0"/>
    <n v="8400"/>
    <n v="0"/>
    <n v="8400"/>
    <n v="8400"/>
    <n v="8400"/>
    <n v="8400"/>
  </r>
  <r>
    <s v="ORD-1100"/>
    <d v="2025-02-09T00:00:00"/>
    <x v="2"/>
    <x v="2"/>
    <x v="2"/>
    <x v="1"/>
    <x v="3"/>
    <n v="3"/>
    <n v="24000"/>
    <n v="0"/>
    <n v="72000"/>
    <n v="0"/>
    <n v="72000"/>
    <n v="72000"/>
    <n v="72000"/>
    <n v="72000"/>
  </r>
  <r>
    <s v="ORD-1101"/>
    <d v="2025-12-01T00:00:00"/>
    <x v="3"/>
    <x v="5"/>
    <x v="0"/>
    <x v="2"/>
    <x v="2"/>
    <n v="16"/>
    <n v="250"/>
    <n v="0"/>
    <n v="4000"/>
    <n v="0"/>
    <n v="4000"/>
    <n v="4000"/>
    <n v="4000"/>
    <n v="4000"/>
  </r>
  <r>
    <s v="ORD-1102"/>
    <d v="2025-08-28T00:00:00"/>
    <x v="1"/>
    <x v="1"/>
    <x v="2"/>
    <x v="1"/>
    <x v="3"/>
    <n v="4"/>
    <n v="24000"/>
    <n v="0.05"/>
    <n v="96000"/>
    <n v="4800"/>
    <n v="91200"/>
    <n v="91200"/>
    <n v="91200"/>
    <n v="91200"/>
  </r>
  <r>
    <s v="ORD-1103"/>
    <d v="2025-11-23T00:00:00"/>
    <x v="1"/>
    <x v="4"/>
    <x v="0"/>
    <x v="2"/>
    <x v="2"/>
    <n v="24"/>
    <n v="250"/>
    <n v="0"/>
    <n v="6000"/>
    <n v="0"/>
    <n v="6000"/>
    <n v="6000"/>
    <n v="6000"/>
    <n v="6000"/>
  </r>
  <r>
    <s v="ORD-1104"/>
    <d v="2025-01-20T00:00:00"/>
    <x v="0"/>
    <x v="8"/>
    <x v="0"/>
    <x v="0"/>
    <x v="6"/>
    <n v="15"/>
    <n v="95000"/>
    <n v="0.1"/>
    <n v="1425000"/>
    <n v="142500"/>
    <n v="1282500"/>
    <n v="1282500"/>
    <n v="1282500"/>
    <n v="1282500"/>
  </r>
  <r>
    <s v="ORD-1105"/>
    <d v="2025-12-07T00:00:00"/>
    <x v="0"/>
    <x v="8"/>
    <x v="0"/>
    <x v="0"/>
    <x v="4"/>
    <n v="6"/>
    <n v="8500"/>
    <n v="0.15"/>
    <n v="51000"/>
    <n v="7650"/>
    <n v="43350"/>
    <n v="43350"/>
    <n v="43350"/>
    <n v="43350"/>
  </r>
  <r>
    <s v="ORD-1106"/>
    <d v="2025-06-17T00:00:00"/>
    <x v="3"/>
    <x v="3"/>
    <x v="1"/>
    <x v="1"/>
    <x v="3"/>
    <n v="15"/>
    <n v="24000"/>
    <n v="0"/>
    <n v="360000"/>
    <n v="0"/>
    <n v="360000"/>
    <n v="360000"/>
    <n v="360000"/>
    <n v="360000"/>
  </r>
  <r>
    <s v="ORD-1107"/>
    <d v="2025-08-23T00:00:00"/>
    <x v="3"/>
    <x v="5"/>
    <x v="1"/>
    <x v="2"/>
    <x v="5"/>
    <n v="17"/>
    <n v="600"/>
    <n v="0.15"/>
    <n v="10200"/>
    <n v="1530"/>
    <n v="8670"/>
    <n v="8670"/>
    <n v="8670"/>
    <n v="8670"/>
  </r>
  <r>
    <s v="ORD-1108"/>
    <d v="2025-12-02T00:00:00"/>
    <x v="1"/>
    <x v="1"/>
    <x v="2"/>
    <x v="2"/>
    <x v="2"/>
    <n v="14"/>
    <n v="250"/>
    <n v="0.05"/>
    <n v="3500"/>
    <n v="175"/>
    <n v="3325"/>
    <n v="3325"/>
    <n v="3325"/>
    <n v="3325"/>
  </r>
  <r>
    <s v="ORD-1109"/>
    <d v="2025-01-01T00:00:00"/>
    <x v="1"/>
    <x v="1"/>
    <x v="0"/>
    <x v="0"/>
    <x v="4"/>
    <n v="9"/>
    <n v="8500"/>
    <n v="0"/>
    <n v="76500"/>
    <n v="0"/>
    <n v="76500"/>
    <n v="76500"/>
    <n v="76500"/>
    <n v="76500"/>
  </r>
  <r>
    <s v="ORD-1110"/>
    <d v="2025-07-10T00:00:00"/>
    <x v="1"/>
    <x v="1"/>
    <x v="2"/>
    <x v="1"/>
    <x v="1"/>
    <n v="11"/>
    <n v="7000"/>
    <n v="0.15"/>
    <n v="77000"/>
    <n v="11550"/>
    <n v="65450"/>
    <n v="65450"/>
    <n v="65450"/>
    <n v="65450"/>
  </r>
  <r>
    <s v="ORD-1111"/>
    <d v="2025-07-05T00:00:00"/>
    <x v="0"/>
    <x v="0"/>
    <x v="1"/>
    <x v="0"/>
    <x v="0"/>
    <n v="9"/>
    <n v="1500"/>
    <n v="0.05"/>
    <n v="13500"/>
    <n v="675"/>
    <n v="12825"/>
    <n v="12825"/>
    <n v="12825"/>
    <n v="12825"/>
  </r>
  <r>
    <s v="ORD-1112"/>
    <d v="2025-01-19T00:00:00"/>
    <x v="1"/>
    <x v="4"/>
    <x v="0"/>
    <x v="1"/>
    <x v="1"/>
    <n v="16"/>
    <n v="7000"/>
    <n v="0.05"/>
    <n v="112000"/>
    <n v="5600"/>
    <n v="106400"/>
    <n v="106400"/>
    <n v="106400"/>
    <n v="106400"/>
  </r>
  <r>
    <s v="ORD-1113"/>
    <d v="2025-02-22T00:00:00"/>
    <x v="3"/>
    <x v="5"/>
    <x v="1"/>
    <x v="0"/>
    <x v="0"/>
    <n v="22"/>
    <n v="1500"/>
    <n v="0"/>
    <n v="33000"/>
    <n v="0"/>
    <n v="33000"/>
    <n v="33000"/>
    <n v="33000"/>
    <n v="33000"/>
  </r>
  <r>
    <s v="ORD-1114"/>
    <d v="2025-10-04T00:00:00"/>
    <x v="3"/>
    <x v="5"/>
    <x v="0"/>
    <x v="1"/>
    <x v="3"/>
    <n v="7"/>
    <n v="24000"/>
    <n v="0"/>
    <n v="168000"/>
    <n v="0"/>
    <n v="168000"/>
    <n v="168000"/>
    <n v="168000"/>
    <n v="168000"/>
  </r>
  <r>
    <s v="ORD-1115"/>
    <d v="2025-10-19T00:00:00"/>
    <x v="0"/>
    <x v="8"/>
    <x v="1"/>
    <x v="1"/>
    <x v="1"/>
    <n v="4"/>
    <n v="7000"/>
    <n v="0"/>
    <n v="28000"/>
    <n v="0"/>
    <n v="28000"/>
    <n v="28000"/>
    <n v="28000"/>
    <n v="28000"/>
  </r>
  <r>
    <s v="ORD-1116"/>
    <d v="2025-11-30T00:00:00"/>
    <x v="1"/>
    <x v="1"/>
    <x v="0"/>
    <x v="1"/>
    <x v="1"/>
    <n v="16"/>
    <n v="7000"/>
    <n v="0.15"/>
    <n v="112000"/>
    <n v="16800"/>
    <n v="95200"/>
    <n v="95200"/>
    <n v="95200"/>
    <n v="95200"/>
  </r>
  <r>
    <s v="ORD-1117"/>
    <d v="2025-10-31T00:00:00"/>
    <x v="0"/>
    <x v="0"/>
    <x v="1"/>
    <x v="1"/>
    <x v="1"/>
    <n v="6"/>
    <n v="7000"/>
    <n v="0"/>
    <n v="42000"/>
    <n v="0"/>
    <n v="42000"/>
    <n v="42000"/>
    <n v="42000"/>
    <n v="42000"/>
  </r>
  <r>
    <s v="ORD-1118"/>
    <d v="2025-10-27T00:00:00"/>
    <x v="0"/>
    <x v="8"/>
    <x v="2"/>
    <x v="0"/>
    <x v="4"/>
    <n v="12"/>
    <n v="8500"/>
    <n v="0"/>
    <n v="102000"/>
    <n v="0"/>
    <n v="102000"/>
    <n v="102000"/>
    <n v="102000"/>
    <n v="102000"/>
  </r>
  <r>
    <s v="ORD-1119"/>
    <d v="2025-10-21T00:00:00"/>
    <x v="0"/>
    <x v="8"/>
    <x v="1"/>
    <x v="1"/>
    <x v="3"/>
    <n v="11"/>
    <n v="24000"/>
    <n v="0"/>
    <n v="264000"/>
    <n v="0"/>
    <n v="264000"/>
    <n v="264000"/>
    <n v="264000"/>
    <n v="264000"/>
  </r>
  <r>
    <s v="ORD-1120"/>
    <d v="2025-08-09T00:00:00"/>
    <x v="2"/>
    <x v="6"/>
    <x v="1"/>
    <x v="2"/>
    <x v="2"/>
    <n v="2"/>
    <n v="250"/>
    <n v="0"/>
    <n v="500"/>
    <n v="0"/>
    <n v="500"/>
    <n v="500"/>
    <n v="500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5D0E24-3775-4335-A286-E39BBF067342}" name="PivotTable10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2:C52" firstHeaderRow="0" firstDataRow="1" firstDataCol="1"/>
  <pivotFields count="16">
    <pivotField dataField="1" showAll="0"/>
    <pivotField numFmtId="164" showAll="0"/>
    <pivotField showAll="0"/>
    <pivotField axis="axisRow" showAll="0">
      <items count="10">
        <item x="8"/>
        <item x="1"/>
        <item x="3"/>
        <item x="5"/>
        <item x="0"/>
        <item x="2"/>
        <item x="6"/>
        <item x="4"/>
        <item x="7"/>
        <item t="default"/>
      </items>
    </pivotField>
    <pivotField showAll="0"/>
    <pivotField showAll="0"/>
    <pivotField showAll="0"/>
    <pivotField dataField="1" showAll="0"/>
    <pivotField numFmtId="3" showAll="0"/>
    <pivotField numFmtId="9" showAll="0"/>
    <pivotField numFmtId="3" showAll="0"/>
    <pivotField numFmtId="3" showAll="0"/>
    <pivotField numFmtId="3" showAll="0"/>
    <pivotField numFmtId="3" showAll="0"/>
    <pivotField numFmtId="3" showAll="0"/>
    <pivotField numFmtId="3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0" baseItem="0"/>
    <dataField name="Sum of Unit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E194EF-B76C-4207-8BCF-F85B0CAD5CA1}" name="PivotTable9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1:L41" firstHeaderRow="0" firstDataRow="1" firstDataCol="1"/>
  <pivotFields count="16">
    <pivotField showAll="0"/>
    <pivotField numFmtId="164" showAll="0"/>
    <pivotField showAll="0"/>
    <pivotField showAll="0"/>
    <pivotField showAll="0"/>
    <pivotField showAll="0"/>
    <pivotField axis="axisRow" showAll="0">
      <items count="10">
        <item x="8"/>
        <item x="1"/>
        <item x="2"/>
        <item x="6"/>
        <item x="4"/>
        <item x="5"/>
        <item x="7"/>
        <item x="3"/>
        <item x="0"/>
        <item t="default"/>
      </items>
    </pivotField>
    <pivotField dataField="1" showAll="0"/>
    <pivotField numFmtId="3" showAll="0"/>
    <pivotField numFmtId="9" showAll="0"/>
    <pivotField numFmtId="3" showAll="0"/>
    <pivotField numFmtId="3" showAll="0"/>
    <pivotField dataField="1" numFmtId="3" showAll="0"/>
    <pivotField numFmtId="3" showAll="0"/>
    <pivotField numFmtId="3" showAll="0"/>
    <pivotField numFmtId="3" showAll="0"/>
  </pivotFields>
  <rowFields count="1">
    <field x="6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7" baseField="0" baseItem="0"/>
    <dataField name="Sum of NetRevenue" fld="1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549F14-2794-4E9E-9F54-B41262FD7637}" name="PivotTable8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7:K27" firstHeaderRow="1" firstDataRow="1" firstDataCol="1"/>
  <pivotFields count="16">
    <pivotField showAll="0"/>
    <pivotField numFmtId="164" showAll="0"/>
    <pivotField showAll="0"/>
    <pivotField axis="axisRow" showAll="0">
      <items count="10">
        <item x="8"/>
        <item x="1"/>
        <item x="3"/>
        <item x="5"/>
        <item x="0"/>
        <item x="2"/>
        <item x="6"/>
        <item x="4"/>
        <item x="7"/>
        <item t="default"/>
      </items>
    </pivotField>
    <pivotField showAll="0"/>
    <pivotField showAll="0"/>
    <pivotField showAll="0"/>
    <pivotField showAll="0"/>
    <pivotField numFmtId="3" showAll="0"/>
    <pivotField numFmtId="9" showAll="0"/>
    <pivotField numFmtId="3" showAll="0"/>
    <pivotField numFmtId="3" showAll="0"/>
    <pivotField dataField="1" numFmtId="3" showAll="0"/>
    <pivotField numFmtId="3" showAll="0"/>
    <pivotField numFmtId="3" showAll="0"/>
    <pivotField numFmtId="3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NetRevenue" fld="12" subtotal="average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7F632A-48FE-490A-A251-86FBDD0426B4}" name="PivotTable7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6:H33" firstHeaderRow="1" firstDataRow="1" firstDataCol="1"/>
  <pivotFields count="16">
    <pivotField dataField="1" showAll="0"/>
    <pivotField numFmtId="164" showAll="0"/>
    <pivotField axis="axisRow" showAll="0">
      <items count="5">
        <item x="3"/>
        <item x="0"/>
        <item x="2"/>
        <item x="1"/>
        <item t="default"/>
      </items>
    </pivotField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numFmtId="3" showAll="0"/>
    <pivotField numFmtId="9" showAll="0"/>
    <pivotField numFmtId="3" showAll="0"/>
    <pivotField numFmtId="3" showAll="0"/>
    <pivotField numFmtId="3" showAll="0"/>
    <pivotField numFmtId="3" showAll="0"/>
    <pivotField numFmtId="3" showAll="0"/>
    <pivotField numFmtId="3" showAll="0"/>
  </pivotFields>
  <rowFields count="2">
    <field x="2"/>
    <field x="4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Count of Order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38807C-173E-4EF3-90FC-5A553FD2A67A}" name="PivotTable6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6:E35" firstHeaderRow="1" firstDataRow="1" firstDataCol="1"/>
  <pivotFields count="16">
    <pivotField showAll="0"/>
    <pivotField numFmtId="164" showAll="0"/>
    <pivotField axis="axisRow" showAll="0">
      <items count="5">
        <item x="3"/>
        <item x="0"/>
        <item x="2"/>
        <item x="1"/>
        <item t="default"/>
      </items>
    </pivotField>
    <pivotField axis="axisRow" showAll="0">
      <items count="10">
        <item x="8"/>
        <item x="1"/>
        <item x="3"/>
        <item x="5"/>
        <item x="0"/>
        <item x="2"/>
        <item x="6"/>
        <item x="4"/>
        <item x="7"/>
        <item t="default"/>
      </items>
    </pivotField>
    <pivotField showAll="0"/>
    <pivotField showAll="0"/>
    <pivotField showAll="0"/>
    <pivotField showAll="0"/>
    <pivotField numFmtId="3" showAll="0"/>
    <pivotField numFmtId="9" showAll="0"/>
    <pivotField numFmtId="3" showAll="0"/>
    <pivotField numFmtId="3" showAll="0"/>
    <pivotField dataField="1" numFmtId="3" showAll="0"/>
    <pivotField numFmtId="3" showAll="0"/>
    <pivotField numFmtId="3" showAll="0"/>
    <pivotField numFmtId="3" showAll="0"/>
  </pivotFields>
  <rowFields count="2">
    <field x="3"/>
    <field x="2"/>
  </rowFields>
  <rowItems count="19">
    <i>
      <x/>
    </i>
    <i r="1">
      <x v="1"/>
    </i>
    <i>
      <x v="1"/>
    </i>
    <i r="1">
      <x v="3"/>
    </i>
    <i>
      <x v="2"/>
    </i>
    <i r="1">
      <x/>
    </i>
    <i>
      <x v="3"/>
    </i>
    <i r="1">
      <x/>
    </i>
    <i>
      <x v="4"/>
    </i>
    <i r="1">
      <x v="1"/>
    </i>
    <i>
      <x v="5"/>
    </i>
    <i r="1">
      <x v="2"/>
    </i>
    <i>
      <x v="6"/>
    </i>
    <i r="1">
      <x v="2"/>
    </i>
    <i>
      <x v="7"/>
    </i>
    <i r="1">
      <x v="3"/>
    </i>
    <i>
      <x v="8"/>
    </i>
    <i r="1">
      <x v="1"/>
    </i>
    <i t="grand">
      <x/>
    </i>
  </rowItems>
  <colItems count="1">
    <i/>
  </colItems>
  <dataFields count="1">
    <dataField name="Sum of NetRevenue" fld="1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4F8258-2E9E-4C33-84D7-740FFC0EE191}" name="PivotTable5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B35" firstHeaderRow="1" firstDataRow="1" firstDataCol="1"/>
  <pivotFields count="16">
    <pivotField showAll="0"/>
    <pivotField numFmtId="16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0">
        <item x="8"/>
        <item x="1"/>
        <item x="2"/>
        <item x="6"/>
        <item x="4"/>
        <item x="5"/>
        <item x="7"/>
        <item x="3"/>
        <item x="0"/>
        <item t="default"/>
      </items>
    </pivotField>
    <pivotField showAll="0"/>
    <pivotField numFmtId="3" showAll="0"/>
    <pivotField numFmtId="9" showAll="0"/>
    <pivotField numFmtId="3" showAll="0"/>
    <pivotField numFmtId="3" showAll="0"/>
    <pivotField dataField="1" numFmtId="3" showAll="0"/>
    <pivotField numFmtId="3" showAll="0"/>
    <pivotField numFmtId="3" showAll="0"/>
    <pivotField numFmtId="3" showAll="0"/>
  </pivotFields>
  <rowFields count="2">
    <field x="6"/>
    <field x="5"/>
  </rowFields>
  <rowItems count="19">
    <i>
      <x/>
    </i>
    <i r="1">
      <x v="2"/>
    </i>
    <i>
      <x v="1"/>
    </i>
    <i r="1">
      <x v="1"/>
    </i>
    <i>
      <x v="2"/>
    </i>
    <i r="1">
      <x v="2"/>
    </i>
    <i>
      <x v="3"/>
    </i>
    <i r="1">
      <x/>
    </i>
    <i>
      <x v="4"/>
    </i>
    <i r="1">
      <x/>
    </i>
    <i>
      <x v="5"/>
    </i>
    <i r="1">
      <x v="2"/>
    </i>
    <i>
      <x v="6"/>
    </i>
    <i r="1">
      <x v="1"/>
    </i>
    <i>
      <x v="7"/>
    </i>
    <i r="1">
      <x v="1"/>
    </i>
    <i>
      <x v="8"/>
    </i>
    <i r="1">
      <x/>
    </i>
    <i t="grand">
      <x/>
    </i>
  </rowItems>
  <colItems count="1">
    <i/>
  </colItems>
  <dataFields count="1">
    <dataField name="Sum of NetRevenue" fld="1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CA082B-CCA4-44EC-9795-FEAB45EDA97A}" name="PivotTable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3:L13" firstHeaderRow="1" firstDataRow="1" firstDataCol="1"/>
  <pivotFields count="16">
    <pivotField showAll="0"/>
    <pivotField numFmtId="164" showAll="0"/>
    <pivotField showAll="0"/>
    <pivotField showAll="0"/>
    <pivotField showAll="0"/>
    <pivotField showAll="0"/>
    <pivotField axis="axisRow" showAll="0" sortType="descending">
      <items count="10">
        <item x="8"/>
        <item x="1"/>
        <item x="2"/>
        <item x="6"/>
        <item x="4"/>
        <item x="5"/>
        <item x="7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3" showAll="0"/>
    <pivotField numFmtId="9" showAll="0"/>
    <pivotField numFmtId="3" showAll="0"/>
    <pivotField numFmtId="3" showAll="0"/>
    <pivotField numFmtId="3" showAll="0"/>
    <pivotField numFmtId="3" showAll="0"/>
    <pivotField numFmtId="3" showAll="0"/>
    <pivotField numFmtId="3" showAll="0"/>
  </pivotFields>
  <rowFields count="1">
    <field x="6"/>
  </rowFields>
  <rowItems count="10">
    <i>
      <x v="4"/>
    </i>
    <i>
      <x v="1"/>
    </i>
    <i>
      <x v="5"/>
    </i>
    <i>
      <x v="8"/>
    </i>
    <i>
      <x v="6"/>
    </i>
    <i>
      <x v="2"/>
    </i>
    <i>
      <x v="7"/>
    </i>
    <i>
      <x v="3"/>
    </i>
    <i>
      <x/>
    </i>
    <i t="grand">
      <x/>
    </i>
  </rowItems>
  <colItems count="1">
    <i/>
  </colItems>
  <dataFields count="1">
    <dataField name="Sum of Unit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89C049-F71F-460A-BDBD-1C8D0C312788}" name="PivotTable3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I13" firstHeaderRow="0" firstDataRow="1" firstDataCol="1"/>
  <pivotFields count="16">
    <pivotField dataField="1" showAll="0"/>
    <pivotField numFmtId="164" showAll="0"/>
    <pivotField showAll="0"/>
    <pivotField axis="axisRow" showAll="0">
      <items count="10">
        <item x="8"/>
        <item x="1"/>
        <item x="3"/>
        <item x="5"/>
        <item x="0"/>
        <item x="2"/>
        <item x="6"/>
        <item x="4"/>
        <item x="7"/>
        <item t="default"/>
      </items>
    </pivotField>
    <pivotField showAll="0"/>
    <pivotField showAll="0"/>
    <pivotField showAll="0"/>
    <pivotField showAll="0"/>
    <pivotField numFmtId="3" showAll="0"/>
    <pivotField numFmtId="9" showAll="0"/>
    <pivotField dataField="1" numFmtId="3" showAll="0"/>
    <pivotField numFmtId="3" showAll="0"/>
    <pivotField numFmtId="3" showAll="0"/>
    <pivotField numFmtId="3" showAll="0"/>
    <pivotField numFmtId="3" showAll="0"/>
    <pivotField numFmtId="3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Revenue" fld="10" baseField="0" baseItem="0" numFmtId="3"/>
    <dataField name="Count of Order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615B69-D93F-4C1E-9F8D-883755FCFAEC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13" firstHeaderRow="1" firstDataRow="1" firstDataCol="1"/>
  <pivotFields count="16">
    <pivotField dataField="1" showAll="0"/>
    <pivotField numFmtId="164" showAll="0"/>
    <pivotField showAll="0"/>
    <pivotField axis="axisRow" showAll="0">
      <items count="10">
        <item x="8"/>
        <item x="1"/>
        <item x="3"/>
        <item x="5"/>
        <item x="0"/>
        <item x="2"/>
        <item x="6"/>
        <item x="4"/>
        <item x="7"/>
        <item t="default"/>
      </items>
    </pivotField>
    <pivotField showAll="0"/>
    <pivotField showAll="0"/>
    <pivotField showAll="0"/>
    <pivotField showAll="0"/>
    <pivotField numFmtId="3" showAll="0"/>
    <pivotField numFmtId="9" showAll="0"/>
    <pivotField numFmtId="3" showAll="0"/>
    <pivotField numFmtId="3" showAll="0"/>
    <pivotField numFmtId="3" showAll="0"/>
    <pivotField numFmtId="3" showAll="0"/>
    <pivotField numFmtId="3" showAll="0"/>
    <pivotField numFmtId="3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Order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F2F51F-83C1-446B-A3B6-D2A93C5EFC2E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6">
    <pivotField showAll="0"/>
    <pivotField numFmtId="164"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numFmtId="3" showAll="0"/>
    <pivotField numFmtId="9" showAll="0"/>
    <pivotField numFmtId="3" showAll="0"/>
    <pivotField numFmtId="3" showAll="0"/>
    <pivotField dataField="1"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NetRevenue" fld="1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21"/>
  <sheetViews>
    <sheetView workbookViewId="0">
      <pane ySplit="1" topLeftCell="A2" activePane="bottomLeft" state="frozen"/>
      <selection pane="bottomLeft" activeCell="D20" sqref="D20"/>
    </sheetView>
  </sheetViews>
  <sheetFormatPr defaultRowHeight="14.5" x14ac:dyDescent="0.35"/>
  <cols>
    <col min="1" max="2" width="14" customWidth="1"/>
    <col min="3" max="3" width="12" customWidth="1"/>
    <col min="4" max="5" width="16" customWidth="1"/>
    <col min="6" max="6" width="14" customWidth="1"/>
    <col min="7" max="7" width="24" customWidth="1"/>
    <col min="8" max="8" width="10" customWidth="1"/>
    <col min="9" max="9" width="14" customWidth="1"/>
    <col min="10" max="10" width="12" customWidth="1"/>
    <col min="11" max="11" width="16" customWidth="1"/>
    <col min="12" max="12" width="18" customWidth="1"/>
    <col min="13" max="13" width="22.7265625" customWidth="1"/>
    <col min="14" max="15" width="18" customWidth="1"/>
    <col min="16" max="16" width="20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idden="1" x14ac:dyDescent="0.35">
      <c r="A2" t="s">
        <v>16</v>
      </c>
      <c r="B2" s="2">
        <v>45829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6</v>
      </c>
      <c r="I2" s="3">
        <v>1500</v>
      </c>
      <c r="J2" s="4">
        <v>0</v>
      </c>
      <c r="K2" s="3">
        <f t="shared" ref="K2:K33" si="0">H2*I2</f>
        <v>9000</v>
      </c>
      <c r="L2" s="3">
        <f t="shared" ref="L2:L33" si="1">H2*I2*J2</f>
        <v>0</v>
      </c>
      <c r="M2" s="3">
        <f t="shared" ref="M2:M33" si="2">H2*I2*(1-J2)</f>
        <v>9000</v>
      </c>
      <c r="N2" s="3">
        <f t="shared" ref="N2:N33" si="3">ROUND(H2*I2*(1-J2),0)</f>
        <v>9000</v>
      </c>
      <c r="O2" s="3">
        <f t="shared" ref="O2:O33" si="4">ROUNDUP(H2*I2*(1-J2),0)</f>
        <v>9000</v>
      </c>
      <c r="P2" s="3">
        <f t="shared" ref="P2:P33" si="5">ROUNDDOWN(H2*I2*(1-J2),0)</f>
        <v>9000</v>
      </c>
    </row>
    <row r="3" spans="1:16" hidden="1" x14ac:dyDescent="0.35">
      <c r="A3" t="s">
        <v>22</v>
      </c>
      <c r="B3" s="2">
        <v>45953</v>
      </c>
      <c r="C3" t="s">
        <v>17</v>
      </c>
      <c r="D3" t="s">
        <v>18</v>
      </c>
      <c r="E3" t="s">
        <v>23</v>
      </c>
      <c r="F3" t="s">
        <v>24</v>
      </c>
      <c r="G3" t="s">
        <v>25</v>
      </c>
      <c r="H3">
        <v>25</v>
      </c>
      <c r="I3" s="3">
        <v>7000</v>
      </c>
      <c r="J3" s="4">
        <v>0</v>
      </c>
      <c r="K3" s="3">
        <f t="shared" si="0"/>
        <v>175000</v>
      </c>
      <c r="L3" s="3">
        <f t="shared" si="1"/>
        <v>0</v>
      </c>
      <c r="M3" s="3">
        <f t="shared" si="2"/>
        <v>175000</v>
      </c>
      <c r="N3" s="3">
        <f t="shared" si="3"/>
        <v>175000</v>
      </c>
      <c r="O3" s="3">
        <f t="shared" si="4"/>
        <v>175000</v>
      </c>
      <c r="P3" s="3">
        <f t="shared" si="5"/>
        <v>175000</v>
      </c>
    </row>
    <row r="4" spans="1:16" hidden="1" x14ac:dyDescent="0.35">
      <c r="A4" t="s">
        <v>26</v>
      </c>
      <c r="B4" s="2">
        <v>45831</v>
      </c>
      <c r="C4" t="s">
        <v>27</v>
      </c>
      <c r="D4" t="s">
        <v>28</v>
      </c>
      <c r="E4" t="s">
        <v>23</v>
      </c>
      <c r="F4" t="s">
        <v>29</v>
      </c>
      <c r="G4" t="s">
        <v>30</v>
      </c>
      <c r="H4">
        <v>24</v>
      </c>
      <c r="I4" s="3">
        <v>250</v>
      </c>
      <c r="J4" s="4">
        <v>0</v>
      </c>
      <c r="K4" s="3">
        <f t="shared" si="0"/>
        <v>6000</v>
      </c>
      <c r="L4" s="3">
        <f t="shared" si="1"/>
        <v>0</v>
      </c>
      <c r="M4" s="3">
        <f t="shared" si="2"/>
        <v>6000</v>
      </c>
      <c r="N4" s="3">
        <f t="shared" si="3"/>
        <v>6000</v>
      </c>
      <c r="O4" s="3">
        <f t="shared" si="4"/>
        <v>6000</v>
      </c>
      <c r="P4" s="3">
        <f t="shared" si="5"/>
        <v>6000</v>
      </c>
    </row>
    <row r="5" spans="1:16" hidden="1" x14ac:dyDescent="0.35">
      <c r="A5" t="s">
        <v>31</v>
      </c>
      <c r="B5" s="2">
        <v>45943</v>
      </c>
      <c r="C5" t="s">
        <v>32</v>
      </c>
      <c r="D5" t="s">
        <v>33</v>
      </c>
      <c r="E5" t="s">
        <v>23</v>
      </c>
      <c r="F5" t="s">
        <v>24</v>
      </c>
      <c r="G5" t="s">
        <v>34</v>
      </c>
      <c r="H5">
        <v>5</v>
      </c>
      <c r="I5" s="3">
        <v>24000</v>
      </c>
      <c r="J5" s="4">
        <v>0.1</v>
      </c>
      <c r="K5" s="3">
        <f t="shared" si="0"/>
        <v>120000</v>
      </c>
      <c r="L5" s="3">
        <f t="shared" si="1"/>
        <v>12000</v>
      </c>
      <c r="M5" s="3">
        <f t="shared" si="2"/>
        <v>108000</v>
      </c>
      <c r="N5" s="3">
        <f t="shared" si="3"/>
        <v>108000</v>
      </c>
      <c r="O5" s="3">
        <f t="shared" si="4"/>
        <v>108000</v>
      </c>
      <c r="P5" s="3">
        <f t="shared" si="5"/>
        <v>108000</v>
      </c>
    </row>
    <row r="6" spans="1:16" hidden="1" x14ac:dyDescent="0.35">
      <c r="A6" t="s">
        <v>35</v>
      </c>
      <c r="B6" s="2">
        <v>45674</v>
      </c>
      <c r="C6" t="s">
        <v>36</v>
      </c>
      <c r="D6" t="s">
        <v>37</v>
      </c>
      <c r="E6" t="s">
        <v>23</v>
      </c>
      <c r="F6" t="s">
        <v>20</v>
      </c>
      <c r="G6" t="s">
        <v>38</v>
      </c>
      <c r="H6">
        <v>22</v>
      </c>
      <c r="I6" s="3">
        <v>8500</v>
      </c>
      <c r="J6" s="4">
        <v>0</v>
      </c>
      <c r="K6" s="3">
        <f t="shared" si="0"/>
        <v>187000</v>
      </c>
      <c r="L6" s="3">
        <f t="shared" si="1"/>
        <v>0</v>
      </c>
      <c r="M6" s="3">
        <f t="shared" si="2"/>
        <v>187000</v>
      </c>
      <c r="N6" s="3">
        <f t="shared" si="3"/>
        <v>187000</v>
      </c>
      <c r="O6" s="3">
        <f t="shared" si="4"/>
        <v>187000</v>
      </c>
      <c r="P6" s="3">
        <f t="shared" si="5"/>
        <v>187000</v>
      </c>
    </row>
    <row r="7" spans="1:16" hidden="1" x14ac:dyDescent="0.35">
      <c r="A7" t="s">
        <v>39</v>
      </c>
      <c r="B7" s="2">
        <v>45868</v>
      </c>
      <c r="C7" t="s">
        <v>27</v>
      </c>
      <c r="D7" t="s">
        <v>40</v>
      </c>
      <c r="E7" t="s">
        <v>41</v>
      </c>
      <c r="F7" t="s">
        <v>20</v>
      </c>
      <c r="G7" t="s">
        <v>38</v>
      </c>
      <c r="H7">
        <v>25</v>
      </c>
      <c r="I7" s="3">
        <v>8500</v>
      </c>
      <c r="J7" s="4">
        <v>0</v>
      </c>
      <c r="K7" s="3">
        <f t="shared" si="0"/>
        <v>212500</v>
      </c>
      <c r="L7" s="3">
        <f t="shared" si="1"/>
        <v>0</v>
      </c>
      <c r="M7" s="3">
        <f t="shared" si="2"/>
        <v>212500</v>
      </c>
      <c r="N7" s="3">
        <f t="shared" si="3"/>
        <v>212500</v>
      </c>
      <c r="O7" s="3">
        <f t="shared" si="4"/>
        <v>212500</v>
      </c>
      <c r="P7" s="3">
        <f t="shared" si="5"/>
        <v>212500</v>
      </c>
    </row>
    <row r="8" spans="1:16" hidden="1" x14ac:dyDescent="0.35">
      <c r="A8" t="s">
        <v>42</v>
      </c>
      <c r="B8" s="2">
        <v>46013</v>
      </c>
      <c r="C8" t="s">
        <v>36</v>
      </c>
      <c r="D8" t="s">
        <v>43</v>
      </c>
      <c r="E8" t="s">
        <v>23</v>
      </c>
      <c r="F8" t="s">
        <v>29</v>
      </c>
      <c r="G8" t="s">
        <v>30</v>
      </c>
      <c r="H8">
        <v>15</v>
      </c>
      <c r="I8" s="3">
        <v>250</v>
      </c>
      <c r="J8" s="4">
        <v>0</v>
      </c>
      <c r="K8" s="3">
        <f t="shared" si="0"/>
        <v>3750</v>
      </c>
      <c r="L8" s="3">
        <f t="shared" si="1"/>
        <v>0</v>
      </c>
      <c r="M8" s="3">
        <f t="shared" si="2"/>
        <v>3750</v>
      </c>
      <c r="N8" s="3">
        <f t="shared" si="3"/>
        <v>3750</v>
      </c>
      <c r="O8" s="3">
        <f t="shared" si="4"/>
        <v>3750</v>
      </c>
      <c r="P8" s="3">
        <f t="shared" si="5"/>
        <v>3750</v>
      </c>
    </row>
    <row r="9" spans="1:16" hidden="1" x14ac:dyDescent="0.35">
      <c r="A9" t="s">
        <v>44</v>
      </c>
      <c r="B9" s="2">
        <v>45858</v>
      </c>
      <c r="C9" t="s">
        <v>32</v>
      </c>
      <c r="D9" t="s">
        <v>45</v>
      </c>
      <c r="E9" t="s">
        <v>41</v>
      </c>
      <c r="F9" t="s">
        <v>20</v>
      </c>
      <c r="G9" t="s">
        <v>21</v>
      </c>
      <c r="H9">
        <v>6</v>
      </c>
      <c r="I9" s="3">
        <v>1500</v>
      </c>
      <c r="J9" s="4">
        <v>0</v>
      </c>
      <c r="K9" s="3">
        <f t="shared" si="0"/>
        <v>9000</v>
      </c>
      <c r="L9" s="3">
        <f t="shared" si="1"/>
        <v>0</v>
      </c>
      <c r="M9" s="3">
        <f t="shared" si="2"/>
        <v>9000</v>
      </c>
      <c r="N9" s="3">
        <f t="shared" si="3"/>
        <v>9000</v>
      </c>
      <c r="O9" s="3">
        <f t="shared" si="4"/>
        <v>9000</v>
      </c>
      <c r="P9" s="3">
        <f t="shared" si="5"/>
        <v>9000</v>
      </c>
    </row>
    <row r="10" spans="1:16" hidden="1" x14ac:dyDescent="0.35">
      <c r="A10" t="s">
        <v>46</v>
      </c>
      <c r="B10" s="2">
        <v>45838</v>
      </c>
      <c r="C10" t="s">
        <v>32</v>
      </c>
      <c r="D10" t="s">
        <v>33</v>
      </c>
      <c r="E10" t="s">
        <v>23</v>
      </c>
      <c r="F10" t="s">
        <v>29</v>
      </c>
      <c r="G10" t="s">
        <v>47</v>
      </c>
      <c r="H10">
        <v>8</v>
      </c>
      <c r="I10" s="3">
        <v>600</v>
      </c>
      <c r="J10" s="4">
        <v>0.15</v>
      </c>
      <c r="K10" s="3">
        <f t="shared" si="0"/>
        <v>4800</v>
      </c>
      <c r="L10" s="3">
        <f t="shared" si="1"/>
        <v>720</v>
      </c>
      <c r="M10" s="3">
        <f t="shared" si="2"/>
        <v>4080</v>
      </c>
      <c r="N10" s="3">
        <f t="shared" si="3"/>
        <v>4080</v>
      </c>
      <c r="O10" s="3">
        <f t="shared" si="4"/>
        <v>4080</v>
      </c>
      <c r="P10" s="3">
        <f t="shared" si="5"/>
        <v>4080</v>
      </c>
    </row>
    <row r="11" spans="1:16" hidden="1" x14ac:dyDescent="0.35">
      <c r="A11" t="s">
        <v>48</v>
      </c>
      <c r="B11" s="2">
        <v>45679</v>
      </c>
      <c r="C11" t="s">
        <v>36</v>
      </c>
      <c r="D11" t="s">
        <v>37</v>
      </c>
      <c r="E11" t="s">
        <v>41</v>
      </c>
      <c r="F11" t="s">
        <v>24</v>
      </c>
      <c r="G11" t="s">
        <v>25</v>
      </c>
      <c r="H11">
        <v>7</v>
      </c>
      <c r="I11" s="3">
        <v>7000</v>
      </c>
      <c r="J11" s="4">
        <v>0.05</v>
      </c>
      <c r="K11" s="3">
        <f t="shared" si="0"/>
        <v>49000</v>
      </c>
      <c r="L11" s="3">
        <f t="shared" si="1"/>
        <v>2450</v>
      </c>
      <c r="M11" s="3">
        <f t="shared" si="2"/>
        <v>46550</v>
      </c>
      <c r="N11" s="3">
        <f t="shared" si="3"/>
        <v>46550</v>
      </c>
      <c r="O11" s="3">
        <f t="shared" si="4"/>
        <v>46550</v>
      </c>
      <c r="P11" s="3">
        <f t="shared" si="5"/>
        <v>46550</v>
      </c>
    </row>
    <row r="12" spans="1:16" hidden="1" x14ac:dyDescent="0.35">
      <c r="A12" t="s">
        <v>49</v>
      </c>
      <c r="B12" s="2">
        <v>45872</v>
      </c>
      <c r="C12" t="s">
        <v>27</v>
      </c>
      <c r="D12" t="s">
        <v>40</v>
      </c>
      <c r="E12" t="s">
        <v>19</v>
      </c>
      <c r="F12" t="s">
        <v>20</v>
      </c>
      <c r="G12" t="s">
        <v>50</v>
      </c>
      <c r="H12">
        <v>12</v>
      </c>
      <c r="I12" s="3">
        <v>95000</v>
      </c>
      <c r="J12" s="4">
        <v>0.1</v>
      </c>
      <c r="K12" s="3">
        <f t="shared" si="0"/>
        <v>1140000</v>
      </c>
      <c r="L12" s="3">
        <f t="shared" si="1"/>
        <v>114000</v>
      </c>
      <c r="M12" s="3">
        <f t="shared" si="2"/>
        <v>1026000</v>
      </c>
      <c r="N12" s="3">
        <f t="shared" si="3"/>
        <v>1026000</v>
      </c>
      <c r="O12" s="3">
        <f t="shared" si="4"/>
        <v>1026000</v>
      </c>
      <c r="P12" s="3">
        <f t="shared" si="5"/>
        <v>1026000</v>
      </c>
    </row>
    <row r="13" spans="1:16" hidden="1" x14ac:dyDescent="0.35">
      <c r="A13" t="s">
        <v>51</v>
      </c>
      <c r="B13" s="2">
        <v>45817</v>
      </c>
      <c r="C13" t="s">
        <v>17</v>
      </c>
      <c r="D13" t="s">
        <v>18</v>
      </c>
      <c r="E13" t="s">
        <v>23</v>
      </c>
      <c r="F13" t="s">
        <v>20</v>
      </c>
      <c r="G13" t="s">
        <v>50</v>
      </c>
      <c r="H13">
        <v>5</v>
      </c>
      <c r="I13" s="3">
        <v>95000</v>
      </c>
      <c r="J13" s="4">
        <v>0.15</v>
      </c>
      <c r="K13" s="3">
        <f t="shared" si="0"/>
        <v>475000</v>
      </c>
      <c r="L13" s="3">
        <f t="shared" si="1"/>
        <v>71250</v>
      </c>
      <c r="M13" s="3">
        <f t="shared" si="2"/>
        <v>403750</v>
      </c>
      <c r="N13" s="3">
        <f t="shared" si="3"/>
        <v>403750</v>
      </c>
      <c r="O13" s="3">
        <f t="shared" si="4"/>
        <v>403750</v>
      </c>
      <c r="P13" s="3">
        <f t="shared" si="5"/>
        <v>403750</v>
      </c>
    </row>
    <row r="14" spans="1:16" hidden="1" x14ac:dyDescent="0.35">
      <c r="A14" t="s">
        <v>52</v>
      </c>
      <c r="B14" s="2">
        <v>45963</v>
      </c>
      <c r="C14" t="s">
        <v>27</v>
      </c>
      <c r="D14" t="s">
        <v>28</v>
      </c>
      <c r="E14" t="s">
        <v>19</v>
      </c>
      <c r="F14" t="s">
        <v>24</v>
      </c>
      <c r="G14" t="s">
        <v>34</v>
      </c>
      <c r="H14">
        <v>10</v>
      </c>
      <c r="I14" s="3">
        <v>24000</v>
      </c>
      <c r="J14" s="4">
        <v>0</v>
      </c>
      <c r="K14" s="3">
        <f t="shared" si="0"/>
        <v>240000</v>
      </c>
      <c r="L14" s="3">
        <f t="shared" si="1"/>
        <v>0</v>
      </c>
      <c r="M14" s="3">
        <f t="shared" si="2"/>
        <v>240000</v>
      </c>
      <c r="N14" s="3">
        <f t="shared" si="3"/>
        <v>240000</v>
      </c>
      <c r="O14" s="3">
        <f t="shared" si="4"/>
        <v>240000</v>
      </c>
      <c r="P14" s="3">
        <f t="shared" si="5"/>
        <v>240000</v>
      </c>
    </row>
    <row r="15" spans="1:16" hidden="1" x14ac:dyDescent="0.35">
      <c r="A15" t="s">
        <v>53</v>
      </c>
      <c r="B15" s="2">
        <v>45686</v>
      </c>
      <c r="C15" t="s">
        <v>32</v>
      </c>
      <c r="D15" t="s">
        <v>45</v>
      </c>
      <c r="E15" t="s">
        <v>41</v>
      </c>
      <c r="F15" t="s">
        <v>20</v>
      </c>
      <c r="G15" t="s">
        <v>38</v>
      </c>
      <c r="H15">
        <v>13</v>
      </c>
      <c r="I15" s="3">
        <v>8500</v>
      </c>
      <c r="J15" s="4">
        <v>0.15</v>
      </c>
      <c r="K15" s="3">
        <f t="shared" si="0"/>
        <v>110500</v>
      </c>
      <c r="L15" s="3">
        <f t="shared" si="1"/>
        <v>16575</v>
      </c>
      <c r="M15" s="3">
        <f t="shared" si="2"/>
        <v>93925</v>
      </c>
      <c r="N15" s="3">
        <f t="shared" si="3"/>
        <v>93925</v>
      </c>
      <c r="O15" s="3">
        <f t="shared" si="4"/>
        <v>93925</v>
      </c>
      <c r="P15" s="3">
        <f t="shared" si="5"/>
        <v>93925</v>
      </c>
    </row>
    <row r="16" spans="1:16" hidden="1" x14ac:dyDescent="0.35">
      <c r="A16" t="s">
        <v>54</v>
      </c>
      <c r="B16" s="2">
        <v>45678</v>
      </c>
      <c r="C16" t="s">
        <v>17</v>
      </c>
      <c r="D16" t="s">
        <v>18</v>
      </c>
      <c r="E16" t="s">
        <v>41</v>
      </c>
      <c r="F16" t="s">
        <v>20</v>
      </c>
      <c r="G16" t="s">
        <v>50</v>
      </c>
      <c r="H16">
        <v>4</v>
      </c>
      <c r="I16" s="3">
        <v>95000</v>
      </c>
      <c r="J16" s="4">
        <v>0.05</v>
      </c>
      <c r="K16" s="3">
        <f t="shared" si="0"/>
        <v>380000</v>
      </c>
      <c r="L16" s="3">
        <f t="shared" si="1"/>
        <v>19000</v>
      </c>
      <c r="M16" s="3">
        <f t="shared" si="2"/>
        <v>361000</v>
      </c>
      <c r="N16" s="3">
        <f t="shared" si="3"/>
        <v>361000</v>
      </c>
      <c r="O16" s="3">
        <f t="shared" si="4"/>
        <v>361000</v>
      </c>
      <c r="P16" s="3">
        <f t="shared" si="5"/>
        <v>361000</v>
      </c>
    </row>
    <row r="17" spans="1:16" hidden="1" x14ac:dyDescent="0.35">
      <c r="A17" t="s">
        <v>55</v>
      </c>
      <c r="B17" s="2">
        <v>45972</v>
      </c>
      <c r="C17" t="s">
        <v>36</v>
      </c>
      <c r="D17" t="s">
        <v>37</v>
      </c>
      <c r="E17" t="s">
        <v>19</v>
      </c>
      <c r="F17" t="s">
        <v>29</v>
      </c>
      <c r="G17" t="s">
        <v>30</v>
      </c>
      <c r="H17">
        <v>25</v>
      </c>
      <c r="I17" s="3">
        <v>250</v>
      </c>
      <c r="J17" s="4">
        <v>0</v>
      </c>
      <c r="K17" s="3">
        <f t="shared" si="0"/>
        <v>6250</v>
      </c>
      <c r="L17" s="3">
        <f t="shared" si="1"/>
        <v>0</v>
      </c>
      <c r="M17" s="3">
        <f t="shared" si="2"/>
        <v>6250</v>
      </c>
      <c r="N17" s="3">
        <f t="shared" si="3"/>
        <v>6250</v>
      </c>
      <c r="O17" s="3">
        <f t="shared" si="4"/>
        <v>6250</v>
      </c>
      <c r="P17" s="3">
        <f t="shared" si="5"/>
        <v>6250</v>
      </c>
    </row>
    <row r="18" spans="1:16" x14ac:dyDescent="0.35">
      <c r="A18" t="s">
        <v>56</v>
      </c>
      <c r="B18" s="2">
        <v>45786</v>
      </c>
      <c r="C18" t="s">
        <v>17</v>
      </c>
      <c r="D18" t="s">
        <v>371</v>
      </c>
      <c r="E18" t="s">
        <v>41</v>
      </c>
      <c r="F18" t="s">
        <v>24</v>
      </c>
      <c r="G18" t="s">
        <v>58</v>
      </c>
      <c r="H18">
        <v>21</v>
      </c>
      <c r="I18" s="3">
        <v>12000</v>
      </c>
      <c r="J18" s="4">
        <v>0</v>
      </c>
      <c r="K18" s="3">
        <f t="shared" si="0"/>
        <v>252000</v>
      </c>
      <c r="L18" s="3">
        <f t="shared" si="1"/>
        <v>0</v>
      </c>
      <c r="M18" s="3">
        <f t="shared" si="2"/>
        <v>252000</v>
      </c>
      <c r="N18" s="3">
        <f t="shared" si="3"/>
        <v>252000</v>
      </c>
      <c r="O18" s="3">
        <f t="shared" si="4"/>
        <v>252000</v>
      </c>
      <c r="P18" s="3">
        <f t="shared" si="5"/>
        <v>252000</v>
      </c>
    </row>
    <row r="19" spans="1:16" hidden="1" x14ac:dyDescent="0.35">
      <c r="A19" t="s">
        <v>59</v>
      </c>
      <c r="B19" s="2">
        <v>45969</v>
      </c>
      <c r="C19" t="s">
        <v>32</v>
      </c>
      <c r="D19" t="s">
        <v>33</v>
      </c>
      <c r="E19" t="s">
        <v>19</v>
      </c>
      <c r="F19" t="s">
        <v>24</v>
      </c>
      <c r="G19" t="s">
        <v>25</v>
      </c>
      <c r="H19">
        <v>9</v>
      </c>
      <c r="I19" s="3">
        <v>7000</v>
      </c>
      <c r="J19" s="4">
        <v>0</v>
      </c>
      <c r="K19" s="3">
        <f t="shared" si="0"/>
        <v>63000</v>
      </c>
      <c r="L19" s="3">
        <f t="shared" si="1"/>
        <v>0</v>
      </c>
      <c r="M19" s="3">
        <f t="shared" si="2"/>
        <v>63000</v>
      </c>
      <c r="N19" s="3">
        <f t="shared" si="3"/>
        <v>63000</v>
      </c>
      <c r="O19" s="3">
        <f t="shared" si="4"/>
        <v>63000</v>
      </c>
      <c r="P19" s="3">
        <f t="shared" si="5"/>
        <v>63000</v>
      </c>
    </row>
    <row r="20" spans="1:16" x14ac:dyDescent="0.35">
      <c r="A20" t="s">
        <v>60</v>
      </c>
      <c r="B20" s="2">
        <v>45919</v>
      </c>
      <c r="C20" t="s">
        <v>17</v>
      </c>
      <c r="D20" t="s">
        <v>57</v>
      </c>
      <c r="E20" t="s">
        <v>41</v>
      </c>
      <c r="F20" t="s">
        <v>24</v>
      </c>
      <c r="G20" t="s">
        <v>58</v>
      </c>
      <c r="H20">
        <v>14</v>
      </c>
      <c r="I20" s="3">
        <v>12000</v>
      </c>
      <c r="J20" s="4">
        <v>0</v>
      </c>
      <c r="K20" s="3">
        <f t="shared" si="0"/>
        <v>168000</v>
      </c>
      <c r="L20" s="3">
        <f t="shared" si="1"/>
        <v>0</v>
      </c>
      <c r="M20" s="3">
        <f t="shared" si="2"/>
        <v>168000</v>
      </c>
      <c r="N20" s="3">
        <f t="shared" si="3"/>
        <v>168000</v>
      </c>
      <c r="O20" s="3">
        <f t="shared" si="4"/>
        <v>168000</v>
      </c>
      <c r="P20" s="3">
        <f t="shared" si="5"/>
        <v>168000</v>
      </c>
    </row>
    <row r="21" spans="1:16" x14ac:dyDescent="0.35">
      <c r="A21" t="s">
        <v>61</v>
      </c>
      <c r="B21" s="2">
        <v>45794</v>
      </c>
      <c r="C21" t="s">
        <v>17</v>
      </c>
      <c r="D21" t="s">
        <v>57</v>
      </c>
      <c r="E21" t="s">
        <v>19</v>
      </c>
      <c r="F21" t="s">
        <v>24</v>
      </c>
      <c r="G21" t="s">
        <v>34</v>
      </c>
      <c r="H21">
        <v>25</v>
      </c>
      <c r="I21" s="3">
        <v>24000</v>
      </c>
      <c r="J21" s="4">
        <v>0</v>
      </c>
      <c r="K21" s="3">
        <f t="shared" si="0"/>
        <v>600000</v>
      </c>
      <c r="L21" s="3">
        <f t="shared" si="1"/>
        <v>0</v>
      </c>
      <c r="M21" s="3">
        <f t="shared" si="2"/>
        <v>600000</v>
      </c>
      <c r="N21" s="3">
        <f t="shared" si="3"/>
        <v>600000</v>
      </c>
      <c r="O21" s="3">
        <f t="shared" si="4"/>
        <v>600000</v>
      </c>
      <c r="P21" s="3">
        <f t="shared" si="5"/>
        <v>600000</v>
      </c>
    </row>
    <row r="22" spans="1:16" hidden="1" x14ac:dyDescent="0.35">
      <c r="A22" t="s">
        <v>62</v>
      </c>
      <c r="B22" s="2">
        <v>45746</v>
      </c>
      <c r="C22" t="s">
        <v>17</v>
      </c>
      <c r="D22" t="s">
        <v>18</v>
      </c>
      <c r="E22" t="s">
        <v>41</v>
      </c>
      <c r="F22" t="s">
        <v>24</v>
      </c>
      <c r="G22" t="s">
        <v>25</v>
      </c>
      <c r="H22">
        <v>19</v>
      </c>
      <c r="I22" s="3">
        <v>7000</v>
      </c>
      <c r="J22" s="4">
        <v>0.15</v>
      </c>
      <c r="K22" s="3">
        <f t="shared" si="0"/>
        <v>133000</v>
      </c>
      <c r="L22" s="3">
        <f t="shared" si="1"/>
        <v>19950</v>
      </c>
      <c r="M22" s="3">
        <f t="shared" si="2"/>
        <v>113050</v>
      </c>
      <c r="N22" s="3">
        <f t="shared" si="3"/>
        <v>113050</v>
      </c>
      <c r="O22" s="3">
        <f t="shared" si="4"/>
        <v>113050</v>
      </c>
      <c r="P22" s="3">
        <f t="shared" si="5"/>
        <v>113050</v>
      </c>
    </row>
    <row r="23" spans="1:16" hidden="1" x14ac:dyDescent="0.35">
      <c r="A23" t="s">
        <v>63</v>
      </c>
      <c r="B23" s="2">
        <v>45868</v>
      </c>
      <c r="C23" t="s">
        <v>32</v>
      </c>
      <c r="D23" t="s">
        <v>45</v>
      </c>
      <c r="E23" t="s">
        <v>19</v>
      </c>
      <c r="F23" t="s">
        <v>29</v>
      </c>
      <c r="G23" t="s">
        <v>47</v>
      </c>
      <c r="H23">
        <v>24</v>
      </c>
      <c r="I23" s="3">
        <v>600</v>
      </c>
      <c r="J23" s="4">
        <v>0</v>
      </c>
      <c r="K23" s="3">
        <f t="shared" si="0"/>
        <v>14400</v>
      </c>
      <c r="L23" s="3">
        <f t="shared" si="1"/>
        <v>0</v>
      </c>
      <c r="M23" s="3">
        <f t="shared" si="2"/>
        <v>14400</v>
      </c>
      <c r="N23" s="3">
        <f t="shared" si="3"/>
        <v>14400</v>
      </c>
      <c r="O23" s="3">
        <f t="shared" si="4"/>
        <v>14400</v>
      </c>
      <c r="P23" s="3">
        <f t="shared" si="5"/>
        <v>14400</v>
      </c>
    </row>
    <row r="24" spans="1:16" hidden="1" x14ac:dyDescent="0.35">
      <c r="A24" t="s">
        <v>64</v>
      </c>
      <c r="B24" s="2">
        <v>45694</v>
      </c>
      <c r="C24" t="s">
        <v>36</v>
      </c>
      <c r="D24" t="s">
        <v>43</v>
      </c>
      <c r="E24" t="s">
        <v>19</v>
      </c>
      <c r="F24" t="s">
        <v>24</v>
      </c>
      <c r="G24" t="s">
        <v>58</v>
      </c>
      <c r="H24">
        <v>8</v>
      </c>
      <c r="I24" s="3">
        <v>12000</v>
      </c>
      <c r="J24" s="4">
        <v>0</v>
      </c>
      <c r="K24" s="3">
        <f t="shared" si="0"/>
        <v>96000</v>
      </c>
      <c r="L24" s="3">
        <f t="shared" si="1"/>
        <v>0</v>
      </c>
      <c r="M24" s="3">
        <f t="shared" si="2"/>
        <v>96000</v>
      </c>
      <c r="N24" s="3">
        <f t="shared" si="3"/>
        <v>96000</v>
      </c>
      <c r="O24" s="3">
        <f t="shared" si="4"/>
        <v>96000</v>
      </c>
      <c r="P24" s="3">
        <f t="shared" si="5"/>
        <v>96000</v>
      </c>
    </row>
    <row r="25" spans="1:16" hidden="1" x14ac:dyDescent="0.35">
      <c r="A25" t="s">
        <v>65</v>
      </c>
      <c r="B25" s="2">
        <v>45930</v>
      </c>
      <c r="C25" t="s">
        <v>27</v>
      </c>
      <c r="D25" t="s">
        <v>40</v>
      </c>
      <c r="E25" t="s">
        <v>23</v>
      </c>
      <c r="F25" t="s">
        <v>24</v>
      </c>
      <c r="G25" t="s">
        <v>58</v>
      </c>
      <c r="H25">
        <v>12</v>
      </c>
      <c r="I25" s="3">
        <v>12000</v>
      </c>
      <c r="J25" s="4">
        <v>0.1</v>
      </c>
      <c r="K25" s="3">
        <f t="shared" si="0"/>
        <v>144000</v>
      </c>
      <c r="L25" s="3">
        <f t="shared" si="1"/>
        <v>14400</v>
      </c>
      <c r="M25" s="3">
        <f t="shared" si="2"/>
        <v>129600</v>
      </c>
      <c r="N25" s="3">
        <f t="shared" si="3"/>
        <v>129600</v>
      </c>
      <c r="O25" s="3">
        <f t="shared" si="4"/>
        <v>129600</v>
      </c>
      <c r="P25" s="3">
        <f t="shared" si="5"/>
        <v>129600</v>
      </c>
    </row>
    <row r="26" spans="1:16" hidden="1" x14ac:dyDescent="0.35">
      <c r="A26" t="s">
        <v>66</v>
      </c>
      <c r="B26" s="2">
        <v>45769</v>
      </c>
      <c r="C26" t="s">
        <v>32</v>
      </c>
      <c r="D26" t="s">
        <v>45</v>
      </c>
      <c r="E26" t="s">
        <v>23</v>
      </c>
      <c r="F26" t="s">
        <v>20</v>
      </c>
      <c r="G26" t="s">
        <v>38</v>
      </c>
      <c r="H26">
        <v>1</v>
      </c>
      <c r="I26" s="3">
        <v>8500</v>
      </c>
      <c r="J26" s="4">
        <v>0</v>
      </c>
      <c r="K26" s="3">
        <f t="shared" si="0"/>
        <v>8500</v>
      </c>
      <c r="L26" s="3">
        <f t="shared" si="1"/>
        <v>0</v>
      </c>
      <c r="M26" s="3">
        <f t="shared" si="2"/>
        <v>8500</v>
      </c>
      <c r="N26" s="3">
        <f t="shared" si="3"/>
        <v>8500</v>
      </c>
      <c r="O26" s="3">
        <f t="shared" si="4"/>
        <v>8500</v>
      </c>
      <c r="P26" s="3">
        <f t="shared" si="5"/>
        <v>8500</v>
      </c>
    </row>
    <row r="27" spans="1:16" hidden="1" x14ac:dyDescent="0.35">
      <c r="A27" t="s">
        <v>67</v>
      </c>
      <c r="B27" s="2">
        <v>45927</v>
      </c>
      <c r="C27" t="s">
        <v>32</v>
      </c>
      <c r="D27" t="s">
        <v>45</v>
      </c>
      <c r="E27" t="s">
        <v>23</v>
      </c>
      <c r="F27" t="s">
        <v>20</v>
      </c>
      <c r="G27" t="s">
        <v>50</v>
      </c>
      <c r="H27">
        <v>9</v>
      </c>
      <c r="I27" s="3">
        <v>95000</v>
      </c>
      <c r="J27" s="4">
        <v>0</v>
      </c>
      <c r="K27" s="3">
        <f t="shared" si="0"/>
        <v>855000</v>
      </c>
      <c r="L27" s="3">
        <f t="shared" si="1"/>
        <v>0</v>
      </c>
      <c r="M27" s="3">
        <f t="shared" si="2"/>
        <v>855000</v>
      </c>
      <c r="N27" s="3">
        <f t="shared" si="3"/>
        <v>855000</v>
      </c>
      <c r="O27" s="3">
        <f t="shared" si="4"/>
        <v>855000</v>
      </c>
      <c r="P27" s="3">
        <f t="shared" si="5"/>
        <v>855000</v>
      </c>
    </row>
    <row r="28" spans="1:16" hidden="1" x14ac:dyDescent="0.35">
      <c r="A28" t="s">
        <v>68</v>
      </c>
      <c r="B28" s="2">
        <v>45756</v>
      </c>
      <c r="C28" t="s">
        <v>32</v>
      </c>
      <c r="D28" t="s">
        <v>33</v>
      </c>
      <c r="E28" t="s">
        <v>23</v>
      </c>
      <c r="F28" t="s">
        <v>24</v>
      </c>
      <c r="G28" t="s">
        <v>25</v>
      </c>
      <c r="H28">
        <v>24</v>
      </c>
      <c r="I28" s="3">
        <v>7000</v>
      </c>
      <c r="J28" s="4">
        <v>0</v>
      </c>
      <c r="K28" s="3">
        <f t="shared" si="0"/>
        <v>168000</v>
      </c>
      <c r="L28" s="3">
        <f t="shared" si="1"/>
        <v>0</v>
      </c>
      <c r="M28" s="3">
        <f t="shared" si="2"/>
        <v>168000</v>
      </c>
      <c r="N28" s="3">
        <f t="shared" si="3"/>
        <v>168000</v>
      </c>
      <c r="O28" s="3">
        <f t="shared" si="4"/>
        <v>168000</v>
      </c>
      <c r="P28" s="3">
        <f t="shared" si="5"/>
        <v>168000</v>
      </c>
    </row>
    <row r="29" spans="1:16" x14ac:dyDescent="0.35">
      <c r="A29" t="s">
        <v>69</v>
      </c>
      <c r="B29" s="2">
        <v>45739</v>
      </c>
      <c r="C29" t="s">
        <v>17</v>
      </c>
      <c r="D29" t="s">
        <v>57</v>
      </c>
      <c r="E29" t="s">
        <v>19</v>
      </c>
      <c r="F29" t="s">
        <v>20</v>
      </c>
      <c r="G29" t="s">
        <v>21</v>
      </c>
      <c r="H29">
        <v>1</v>
      </c>
      <c r="I29" s="3">
        <v>1500</v>
      </c>
      <c r="J29" s="4">
        <v>0.05</v>
      </c>
      <c r="K29" s="3">
        <f t="shared" si="0"/>
        <v>1500</v>
      </c>
      <c r="L29" s="3">
        <f t="shared" si="1"/>
        <v>75</v>
      </c>
      <c r="M29" s="3">
        <f t="shared" si="2"/>
        <v>1425</v>
      </c>
      <c r="N29" s="3">
        <f t="shared" si="3"/>
        <v>1425</v>
      </c>
      <c r="O29" s="3">
        <f t="shared" si="4"/>
        <v>1425</v>
      </c>
      <c r="P29" s="3">
        <f t="shared" si="5"/>
        <v>1425</v>
      </c>
    </row>
    <row r="30" spans="1:16" hidden="1" x14ac:dyDescent="0.35">
      <c r="A30" t="s">
        <v>70</v>
      </c>
      <c r="B30" s="2">
        <v>45763</v>
      </c>
      <c r="C30" t="s">
        <v>32</v>
      </c>
      <c r="D30" t="s">
        <v>33</v>
      </c>
      <c r="E30" t="s">
        <v>41</v>
      </c>
      <c r="F30" t="s">
        <v>29</v>
      </c>
      <c r="G30" t="s">
        <v>30</v>
      </c>
      <c r="H30">
        <v>14</v>
      </c>
      <c r="I30" s="3">
        <v>250</v>
      </c>
      <c r="J30" s="4">
        <v>0</v>
      </c>
      <c r="K30" s="3">
        <f t="shared" si="0"/>
        <v>3500</v>
      </c>
      <c r="L30" s="3">
        <f t="shared" si="1"/>
        <v>0</v>
      </c>
      <c r="M30" s="3">
        <f t="shared" si="2"/>
        <v>3500</v>
      </c>
      <c r="N30" s="3">
        <f t="shared" si="3"/>
        <v>3500</v>
      </c>
      <c r="O30" s="3">
        <f t="shared" si="4"/>
        <v>3500</v>
      </c>
      <c r="P30" s="3">
        <f t="shared" si="5"/>
        <v>3500</v>
      </c>
    </row>
    <row r="31" spans="1:16" hidden="1" x14ac:dyDescent="0.35">
      <c r="A31" t="s">
        <v>71</v>
      </c>
      <c r="B31" s="2">
        <v>45753</v>
      </c>
      <c r="C31" t="s">
        <v>32</v>
      </c>
      <c r="D31" t="s">
        <v>33</v>
      </c>
      <c r="E31" t="s">
        <v>19</v>
      </c>
      <c r="F31" t="s">
        <v>24</v>
      </c>
      <c r="G31" t="s">
        <v>25</v>
      </c>
      <c r="H31">
        <v>14</v>
      </c>
      <c r="I31" s="3">
        <v>7000</v>
      </c>
      <c r="J31" s="4">
        <v>0</v>
      </c>
      <c r="K31" s="3">
        <f t="shared" si="0"/>
        <v>98000</v>
      </c>
      <c r="L31" s="3">
        <f t="shared" si="1"/>
        <v>0</v>
      </c>
      <c r="M31" s="3">
        <f t="shared" si="2"/>
        <v>98000</v>
      </c>
      <c r="N31" s="3">
        <f t="shared" si="3"/>
        <v>98000</v>
      </c>
      <c r="O31" s="3">
        <f t="shared" si="4"/>
        <v>98000</v>
      </c>
      <c r="P31" s="3">
        <f t="shared" si="5"/>
        <v>98000</v>
      </c>
    </row>
    <row r="32" spans="1:16" hidden="1" x14ac:dyDescent="0.35">
      <c r="A32" t="s">
        <v>72</v>
      </c>
      <c r="B32" s="2">
        <v>46005</v>
      </c>
      <c r="C32" t="s">
        <v>27</v>
      </c>
      <c r="D32" t="s">
        <v>28</v>
      </c>
      <c r="E32" t="s">
        <v>41</v>
      </c>
      <c r="F32" t="s">
        <v>29</v>
      </c>
      <c r="G32" t="s">
        <v>73</v>
      </c>
      <c r="H32">
        <v>12</v>
      </c>
      <c r="I32" s="3">
        <v>350</v>
      </c>
      <c r="J32" s="4">
        <v>0</v>
      </c>
      <c r="K32" s="3">
        <f t="shared" si="0"/>
        <v>4200</v>
      </c>
      <c r="L32" s="3">
        <f t="shared" si="1"/>
        <v>0</v>
      </c>
      <c r="M32" s="3">
        <f t="shared" si="2"/>
        <v>4200</v>
      </c>
      <c r="N32" s="3">
        <f t="shared" si="3"/>
        <v>4200</v>
      </c>
      <c r="O32" s="3">
        <f t="shared" si="4"/>
        <v>4200</v>
      </c>
      <c r="P32" s="3">
        <f t="shared" si="5"/>
        <v>4200</v>
      </c>
    </row>
    <row r="33" spans="1:16" hidden="1" x14ac:dyDescent="0.35">
      <c r="A33" t="s">
        <v>74</v>
      </c>
      <c r="B33" s="2">
        <v>45827</v>
      </c>
      <c r="C33" t="s">
        <v>27</v>
      </c>
      <c r="D33" t="s">
        <v>40</v>
      </c>
      <c r="E33" t="s">
        <v>19</v>
      </c>
      <c r="F33" t="s">
        <v>24</v>
      </c>
      <c r="G33" t="s">
        <v>25</v>
      </c>
      <c r="H33">
        <v>5</v>
      </c>
      <c r="I33" s="3">
        <v>7000</v>
      </c>
      <c r="J33" s="4">
        <v>0.1</v>
      </c>
      <c r="K33" s="3">
        <f t="shared" si="0"/>
        <v>35000</v>
      </c>
      <c r="L33" s="3">
        <f t="shared" si="1"/>
        <v>3500</v>
      </c>
      <c r="M33" s="3">
        <f t="shared" si="2"/>
        <v>31500</v>
      </c>
      <c r="N33" s="3">
        <f t="shared" si="3"/>
        <v>31500</v>
      </c>
      <c r="O33" s="3">
        <f t="shared" si="4"/>
        <v>31500</v>
      </c>
      <c r="P33" s="3">
        <f t="shared" si="5"/>
        <v>31500</v>
      </c>
    </row>
    <row r="34" spans="1:16" hidden="1" x14ac:dyDescent="0.35">
      <c r="A34" t="s">
        <v>75</v>
      </c>
      <c r="B34" s="2">
        <v>45952</v>
      </c>
      <c r="C34" t="s">
        <v>32</v>
      </c>
      <c r="D34" t="s">
        <v>45</v>
      </c>
      <c r="E34" t="s">
        <v>41</v>
      </c>
      <c r="F34" t="s">
        <v>24</v>
      </c>
      <c r="G34" t="s">
        <v>34</v>
      </c>
      <c r="H34">
        <v>3</v>
      </c>
      <c r="I34" s="3">
        <v>24000</v>
      </c>
      <c r="J34" s="4">
        <v>0.1</v>
      </c>
      <c r="K34" s="3">
        <f t="shared" ref="K34:K65" si="6">H34*I34</f>
        <v>72000</v>
      </c>
      <c r="L34" s="3">
        <f t="shared" ref="L34:L65" si="7">H34*I34*J34</f>
        <v>7200</v>
      </c>
      <c r="M34" s="3">
        <f t="shared" ref="M34:M65" si="8">H34*I34*(1-J34)</f>
        <v>64800</v>
      </c>
      <c r="N34" s="3">
        <f t="shared" ref="N34:N65" si="9">ROUND(H34*I34*(1-J34),0)</f>
        <v>64800</v>
      </c>
      <c r="O34" s="3">
        <f t="shared" ref="O34:O65" si="10">ROUNDUP(H34*I34*(1-J34),0)</f>
        <v>64800</v>
      </c>
      <c r="P34" s="3">
        <f t="shared" ref="P34:P65" si="11">ROUNDDOWN(H34*I34*(1-J34),0)</f>
        <v>64800</v>
      </c>
    </row>
    <row r="35" spans="1:16" hidden="1" x14ac:dyDescent="0.35">
      <c r="A35" t="s">
        <v>76</v>
      </c>
      <c r="B35" s="2">
        <v>45783</v>
      </c>
      <c r="C35" t="s">
        <v>36</v>
      </c>
      <c r="D35" t="s">
        <v>37</v>
      </c>
      <c r="E35" t="s">
        <v>41</v>
      </c>
      <c r="F35" t="s">
        <v>29</v>
      </c>
      <c r="G35" t="s">
        <v>47</v>
      </c>
      <c r="H35">
        <v>19</v>
      </c>
      <c r="I35" s="3">
        <v>600</v>
      </c>
      <c r="J35" s="4">
        <v>0.05</v>
      </c>
      <c r="K35" s="3">
        <f t="shared" si="6"/>
        <v>11400</v>
      </c>
      <c r="L35" s="3">
        <f t="shared" si="7"/>
        <v>570</v>
      </c>
      <c r="M35" s="3">
        <f t="shared" si="8"/>
        <v>10830</v>
      </c>
      <c r="N35" s="3">
        <f t="shared" si="9"/>
        <v>10830</v>
      </c>
      <c r="O35" s="3">
        <f t="shared" si="10"/>
        <v>10830</v>
      </c>
      <c r="P35" s="3">
        <f t="shared" si="11"/>
        <v>10830</v>
      </c>
    </row>
    <row r="36" spans="1:16" hidden="1" x14ac:dyDescent="0.35">
      <c r="A36" t="s">
        <v>77</v>
      </c>
      <c r="B36" s="2">
        <v>45691</v>
      </c>
      <c r="C36" t="s">
        <v>36</v>
      </c>
      <c r="D36" t="s">
        <v>43</v>
      </c>
      <c r="E36" t="s">
        <v>23</v>
      </c>
      <c r="F36" t="s">
        <v>24</v>
      </c>
      <c r="G36" t="s">
        <v>58</v>
      </c>
      <c r="H36">
        <v>2</v>
      </c>
      <c r="I36" s="3">
        <v>12000</v>
      </c>
      <c r="J36" s="4">
        <v>0.05</v>
      </c>
      <c r="K36" s="3">
        <f t="shared" si="6"/>
        <v>24000</v>
      </c>
      <c r="L36" s="3">
        <f t="shared" si="7"/>
        <v>1200</v>
      </c>
      <c r="M36" s="3">
        <f t="shared" si="8"/>
        <v>22800</v>
      </c>
      <c r="N36" s="3">
        <f t="shared" si="9"/>
        <v>22800</v>
      </c>
      <c r="O36" s="3">
        <f t="shared" si="10"/>
        <v>22800</v>
      </c>
      <c r="P36" s="3">
        <f t="shared" si="11"/>
        <v>22800</v>
      </c>
    </row>
    <row r="37" spans="1:16" hidden="1" x14ac:dyDescent="0.35">
      <c r="A37" t="s">
        <v>78</v>
      </c>
      <c r="B37" s="2">
        <v>45923</v>
      </c>
      <c r="C37" t="s">
        <v>32</v>
      </c>
      <c r="D37" t="s">
        <v>45</v>
      </c>
      <c r="E37" t="s">
        <v>41</v>
      </c>
      <c r="F37" t="s">
        <v>20</v>
      </c>
      <c r="G37" t="s">
        <v>21</v>
      </c>
      <c r="H37">
        <v>10</v>
      </c>
      <c r="I37" s="3">
        <v>1500</v>
      </c>
      <c r="J37" s="4">
        <v>0.1</v>
      </c>
      <c r="K37" s="3">
        <f t="shared" si="6"/>
        <v>15000</v>
      </c>
      <c r="L37" s="3">
        <f t="shared" si="7"/>
        <v>1500</v>
      </c>
      <c r="M37" s="3">
        <f t="shared" si="8"/>
        <v>13500</v>
      </c>
      <c r="N37" s="3">
        <f t="shared" si="9"/>
        <v>13500</v>
      </c>
      <c r="O37" s="3">
        <f t="shared" si="10"/>
        <v>13500</v>
      </c>
      <c r="P37" s="3">
        <f t="shared" si="11"/>
        <v>13500</v>
      </c>
    </row>
    <row r="38" spans="1:16" hidden="1" x14ac:dyDescent="0.35">
      <c r="A38" t="s">
        <v>79</v>
      </c>
      <c r="B38" s="2">
        <v>45891</v>
      </c>
      <c r="C38" t="s">
        <v>27</v>
      </c>
      <c r="D38" t="s">
        <v>28</v>
      </c>
      <c r="E38" t="s">
        <v>19</v>
      </c>
      <c r="F38" t="s">
        <v>20</v>
      </c>
      <c r="G38" t="s">
        <v>50</v>
      </c>
      <c r="H38">
        <v>6</v>
      </c>
      <c r="I38" s="3">
        <v>95000</v>
      </c>
      <c r="J38" s="4">
        <v>0</v>
      </c>
      <c r="K38" s="3">
        <f t="shared" si="6"/>
        <v>570000</v>
      </c>
      <c r="L38" s="3">
        <f t="shared" si="7"/>
        <v>0</v>
      </c>
      <c r="M38" s="3">
        <f t="shared" si="8"/>
        <v>570000</v>
      </c>
      <c r="N38" s="3">
        <f t="shared" si="9"/>
        <v>570000</v>
      </c>
      <c r="O38" s="3">
        <f t="shared" si="10"/>
        <v>570000</v>
      </c>
      <c r="P38" s="3">
        <f t="shared" si="11"/>
        <v>570000</v>
      </c>
    </row>
    <row r="39" spans="1:16" x14ac:dyDescent="0.35">
      <c r="A39" t="s">
        <v>80</v>
      </c>
      <c r="B39" s="2">
        <v>45806</v>
      </c>
      <c r="C39" t="s">
        <v>17</v>
      </c>
      <c r="D39" t="s">
        <v>57</v>
      </c>
      <c r="E39" t="s">
        <v>19</v>
      </c>
      <c r="F39" t="s">
        <v>29</v>
      </c>
      <c r="G39" t="s">
        <v>47</v>
      </c>
      <c r="H39">
        <v>7</v>
      </c>
      <c r="I39" s="3">
        <v>600</v>
      </c>
      <c r="J39" s="4">
        <v>0.05</v>
      </c>
      <c r="K39" s="3">
        <f t="shared" si="6"/>
        <v>4200</v>
      </c>
      <c r="L39" s="3">
        <f t="shared" si="7"/>
        <v>210</v>
      </c>
      <c r="M39" s="3">
        <f t="shared" si="8"/>
        <v>3990</v>
      </c>
      <c r="N39" s="3">
        <f t="shared" si="9"/>
        <v>3990</v>
      </c>
      <c r="O39" s="3">
        <f t="shared" si="10"/>
        <v>3990</v>
      </c>
      <c r="P39" s="3">
        <f t="shared" si="11"/>
        <v>3990</v>
      </c>
    </row>
    <row r="40" spans="1:16" hidden="1" x14ac:dyDescent="0.35">
      <c r="A40" t="s">
        <v>81</v>
      </c>
      <c r="B40" s="2">
        <v>45805</v>
      </c>
      <c r="C40" t="s">
        <v>36</v>
      </c>
      <c r="D40" t="s">
        <v>37</v>
      </c>
      <c r="E40" t="s">
        <v>41</v>
      </c>
      <c r="F40" t="s">
        <v>20</v>
      </c>
      <c r="G40" t="s">
        <v>38</v>
      </c>
      <c r="H40">
        <v>16</v>
      </c>
      <c r="I40" s="3">
        <v>8500</v>
      </c>
      <c r="J40" s="4">
        <v>0.15</v>
      </c>
      <c r="K40" s="3">
        <f t="shared" si="6"/>
        <v>136000</v>
      </c>
      <c r="L40" s="3">
        <f t="shared" si="7"/>
        <v>20400</v>
      </c>
      <c r="M40" s="3">
        <f t="shared" si="8"/>
        <v>115600</v>
      </c>
      <c r="N40" s="3">
        <f t="shared" si="9"/>
        <v>115600</v>
      </c>
      <c r="O40" s="3">
        <f t="shared" si="10"/>
        <v>115600</v>
      </c>
      <c r="P40" s="3">
        <f t="shared" si="11"/>
        <v>115600</v>
      </c>
    </row>
    <row r="41" spans="1:16" x14ac:dyDescent="0.35">
      <c r="A41" t="s">
        <v>82</v>
      </c>
      <c r="B41" s="2">
        <v>45983</v>
      </c>
      <c r="C41" t="s">
        <v>17</v>
      </c>
      <c r="D41" t="s">
        <v>57</v>
      </c>
      <c r="E41" t="s">
        <v>19</v>
      </c>
      <c r="F41" t="s">
        <v>20</v>
      </c>
      <c r="G41" t="s">
        <v>38</v>
      </c>
      <c r="H41">
        <v>13</v>
      </c>
      <c r="I41" s="3">
        <v>8500</v>
      </c>
      <c r="J41" s="4">
        <v>0</v>
      </c>
      <c r="K41" s="3">
        <f t="shared" si="6"/>
        <v>110500</v>
      </c>
      <c r="L41" s="3">
        <f t="shared" si="7"/>
        <v>0</v>
      </c>
      <c r="M41" s="3">
        <f t="shared" si="8"/>
        <v>110500</v>
      </c>
      <c r="N41" s="3">
        <f t="shared" si="9"/>
        <v>110500</v>
      </c>
      <c r="O41" s="3">
        <f t="shared" si="10"/>
        <v>110500</v>
      </c>
      <c r="P41" s="3">
        <f t="shared" si="11"/>
        <v>110500</v>
      </c>
    </row>
    <row r="42" spans="1:16" hidden="1" x14ac:dyDescent="0.35">
      <c r="A42" t="s">
        <v>83</v>
      </c>
      <c r="B42" s="2">
        <v>45832</v>
      </c>
      <c r="C42" t="s">
        <v>27</v>
      </c>
      <c r="D42" t="s">
        <v>28</v>
      </c>
      <c r="E42" t="s">
        <v>41</v>
      </c>
      <c r="F42" t="s">
        <v>29</v>
      </c>
      <c r="G42" t="s">
        <v>47</v>
      </c>
      <c r="H42">
        <v>16</v>
      </c>
      <c r="I42" s="3">
        <v>600</v>
      </c>
      <c r="J42" s="4">
        <v>0.1</v>
      </c>
      <c r="K42" s="3">
        <f t="shared" si="6"/>
        <v>9600</v>
      </c>
      <c r="L42" s="3">
        <f t="shared" si="7"/>
        <v>960</v>
      </c>
      <c r="M42" s="3">
        <f t="shared" si="8"/>
        <v>8640</v>
      </c>
      <c r="N42" s="3">
        <f t="shared" si="9"/>
        <v>8640</v>
      </c>
      <c r="O42" s="3">
        <f t="shared" si="10"/>
        <v>8640</v>
      </c>
      <c r="P42" s="3">
        <f t="shared" si="11"/>
        <v>8640</v>
      </c>
    </row>
    <row r="43" spans="1:16" hidden="1" x14ac:dyDescent="0.35">
      <c r="A43" t="s">
        <v>84</v>
      </c>
      <c r="B43" s="2">
        <v>45904</v>
      </c>
      <c r="C43" t="s">
        <v>27</v>
      </c>
      <c r="D43" t="s">
        <v>40</v>
      </c>
      <c r="E43" t="s">
        <v>19</v>
      </c>
      <c r="F43" t="s">
        <v>24</v>
      </c>
      <c r="G43" t="s">
        <v>58</v>
      </c>
      <c r="H43">
        <v>12</v>
      </c>
      <c r="I43" s="3">
        <v>12000</v>
      </c>
      <c r="J43" s="4">
        <v>0</v>
      </c>
      <c r="K43" s="3">
        <f t="shared" si="6"/>
        <v>144000</v>
      </c>
      <c r="L43" s="3">
        <f t="shared" si="7"/>
        <v>0</v>
      </c>
      <c r="M43" s="3">
        <f t="shared" si="8"/>
        <v>144000</v>
      </c>
      <c r="N43" s="3">
        <f t="shared" si="9"/>
        <v>144000</v>
      </c>
      <c r="O43" s="3">
        <f t="shared" si="10"/>
        <v>144000</v>
      </c>
      <c r="P43" s="3">
        <f t="shared" si="11"/>
        <v>144000</v>
      </c>
    </row>
    <row r="44" spans="1:16" hidden="1" x14ac:dyDescent="0.35">
      <c r="A44" t="s">
        <v>85</v>
      </c>
      <c r="B44" s="2">
        <v>45923</v>
      </c>
      <c r="C44" t="s">
        <v>32</v>
      </c>
      <c r="D44" t="s">
        <v>45</v>
      </c>
      <c r="E44" t="s">
        <v>19</v>
      </c>
      <c r="F44" t="s">
        <v>24</v>
      </c>
      <c r="G44" t="s">
        <v>58</v>
      </c>
      <c r="H44">
        <v>11</v>
      </c>
      <c r="I44" s="3">
        <v>12000</v>
      </c>
      <c r="J44" s="4">
        <v>0</v>
      </c>
      <c r="K44" s="3">
        <f t="shared" si="6"/>
        <v>132000</v>
      </c>
      <c r="L44" s="3">
        <f t="shared" si="7"/>
        <v>0</v>
      </c>
      <c r="M44" s="3">
        <f t="shared" si="8"/>
        <v>132000</v>
      </c>
      <c r="N44" s="3">
        <f t="shared" si="9"/>
        <v>132000</v>
      </c>
      <c r="O44" s="3">
        <f t="shared" si="10"/>
        <v>132000</v>
      </c>
      <c r="P44" s="3">
        <f t="shared" si="11"/>
        <v>132000</v>
      </c>
    </row>
    <row r="45" spans="1:16" x14ac:dyDescent="0.35">
      <c r="A45" t="s">
        <v>86</v>
      </c>
      <c r="B45" s="2">
        <v>45810</v>
      </c>
      <c r="C45" t="s">
        <v>17</v>
      </c>
      <c r="D45" t="s">
        <v>57</v>
      </c>
      <c r="E45" t="s">
        <v>19</v>
      </c>
      <c r="F45" t="s">
        <v>29</v>
      </c>
      <c r="G45" t="s">
        <v>47</v>
      </c>
      <c r="H45">
        <v>8</v>
      </c>
      <c r="I45" s="3">
        <v>600</v>
      </c>
      <c r="J45" s="4">
        <v>0.05</v>
      </c>
      <c r="K45" s="3">
        <f t="shared" si="6"/>
        <v>4800</v>
      </c>
      <c r="L45" s="3">
        <f t="shared" si="7"/>
        <v>240</v>
      </c>
      <c r="M45" s="3">
        <f t="shared" si="8"/>
        <v>4560</v>
      </c>
      <c r="N45" s="3">
        <f t="shared" si="9"/>
        <v>4560</v>
      </c>
      <c r="O45" s="3">
        <f t="shared" si="10"/>
        <v>4560</v>
      </c>
      <c r="P45" s="3">
        <f t="shared" si="11"/>
        <v>4560</v>
      </c>
    </row>
    <row r="46" spans="1:16" hidden="1" x14ac:dyDescent="0.35">
      <c r="A46" t="s">
        <v>87</v>
      </c>
      <c r="B46" s="2">
        <v>45976</v>
      </c>
      <c r="C46" t="s">
        <v>36</v>
      </c>
      <c r="D46" t="s">
        <v>37</v>
      </c>
      <c r="E46" t="s">
        <v>41</v>
      </c>
      <c r="F46" t="s">
        <v>20</v>
      </c>
      <c r="G46" t="s">
        <v>21</v>
      </c>
      <c r="H46">
        <v>11</v>
      </c>
      <c r="I46" s="3">
        <v>1500</v>
      </c>
      <c r="J46" s="4">
        <v>0.05</v>
      </c>
      <c r="K46" s="3">
        <f t="shared" si="6"/>
        <v>16500</v>
      </c>
      <c r="L46" s="3">
        <f t="shared" si="7"/>
        <v>825</v>
      </c>
      <c r="M46" s="3">
        <f t="shared" si="8"/>
        <v>15675</v>
      </c>
      <c r="N46" s="3">
        <f t="shared" si="9"/>
        <v>15675</v>
      </c>
      <c r="O46" s="3">
        <f t="shared" si="10"/>
        <v>15675</v>
      </c>
      <c r="P46" s="3">
        <f t="shared" si="11"/>
        <v>15675</v>
      </c>
    </row>
    <row r="47" spans="1:16" hidden="1" x14ac:dyDescent="0.35">
      <c r="A47" t="s">
        <v>88</v>
      </c>
      <c r="B47" s="2">
        <v>45770</v>
      </c>
      <c r="C47" t="s">
        <v>17</v>
      </c>
      <c r="D47" t="s">
        <v>18</v>
      </c>
      <c r="E47" t="s">
        <v>23</v>
      </c>
      <c r="F47" t="s">
        <v>24</v>
      </c>
      <c r="G47" t="s">
        <v>25</v>
      </c>
      <c r="H47">
        <v>19</v>
      </c>
      <c r="I47" s="3">
        <v>7000</v>
      </c>
      <c r="J47" s="4">
        <v>0.1</v>
      </c>
      <c r="K47" s="3">
        <f t="shared" si="6"/>
        <v>133000</v>
      </c>
      <c r="L47" s="3">
        <f t="shared" si="7"/>
        <v>13300</v>
      </c>
      <c r="M47" s="3">
        <f t="shared" si="8"/>
        <v>119700</v>
      </c>
      <c r="N47" s="3">
        <f t="shared" si="9"/>
        <v>119700</v>
      </c>
      <c r="O47" s="3">
        <f t="shared" si="10"/>
        <v>119700</v>
      </c>
      <c r="P47" s="3">
        <f t="shared" si="11"/>
        <v>119700</v>
      </c>
    </row>
    <row r="48" spans="1:16" hidden="1" x14ac:dyDescent="0.35">
      <c r="A48" t="s">
        <v>89</v>
      </c>
      <c r="B48" s="2">
        <v>45664</v>
      </c>
      <c r="C48" t="s">
        <v>36</v>
      </c>
      <c r="D48" t="s">
        <v>37</v>
      </c>
      <c r="E48" t="s">
        <v>19</v>
      </c>
      <c r="F48" t="s">
        <v>20</v>
      </c>
      <c r="G48" t="s">
        <v>38</v>
      </c>
      <c r="H48">
        <v>15</v>
      </c>
      <c r="I48" s="3">
        <v>8500</v>
      </c>
      <c r="J48" s="4">
        <v>0</v>
      </c>
      <c r="K48" s="3">
        <f t="shared" si="6"/>
        <v>127500</v>
      </c>
      <c r="L48" s="3">
        <f t="shared" si="7"/>
        <v>0</v>
      </c>
      <c r="M48" s="3">
        <f t="shared" si="8"/>
        <v>127500</v>
      </c>
      <c r="N48" s="3">
        <f t="shared" si="9"/>
        <v>127500</v>
      </c>
      <c r="O48" s="3">
        <f t="shared" si="10"/>
        <v>127500</v>
      </c>
      <c r="P48" s="3">
        <f t="shared" si="11"/>
        <v>127500</v>
      </c>
    </row>
    <row r="49" spans="1:16" x14ac:dyDescent="0.35">
      <c r="A49" t="s">
        <v>90</v>
      </c>
      <c r="B49" s="2">
        <v>45733</v>
      </c>
      <c r="C49" t="s">
        <v>17</v>
      </c>
      <c r="D49" t="s">
        <v>57</v>
      </c>
      <c r="E49" t="s">
        <v>19</v>
      </c>
      <c r="F49" t="s">
        <v>20</v>
      </c>
      <c r="G49" t="s">
        <v>38</v>
      </c>
      <c r="H49">
        <v>8</v>
      </c>
      <c r="I49" s="3">
        <v>8500</v>
      </c>
      <c r="J49" s="4">
        <v>0</v>
      </c>
      <c r="K49" s="3">
        <f t="shared" si="6"/>
        <v>68000</v>
      </c>
      <c r="L49" s="3">
        <f t="shared" si="7"/>
        <v>0</v>
      </c>
      <c r="M49" s="3">
        <f t="shared" si="8"/>
        <v>68000</v>
      </c>
      <c r="N49" s="3">
        <f t="shared" si="9"/>
        <v>68000</v>
      </c>
      <c r="O49" s="3">
        <f t="shared" si="10"/>
        <v>68000</v>
      </c>
      <c r="P49" s="3">
        <f t="shared" si="11"/>
        <v>68000</v>
      </c>
    </row>
    <row r="50" spans="1:16" hidden="1" x14ac:dyDescent="0.35">
      <c r="A50" t="s">
        <v>91</v>
      </c>
      <c r="B50" s="2">
        <v>45748</v>
      </c>
      <c r="C50" t="s">
        <v>27</v>
      </c>
      <c r="D50" t="s">
        <v>28</v>
      </c>
      <c r="E50" t="s">
        <v>41</v>
      </c>
      <c r="F50" t="s">
        <v>24</v>
      </c>
      <c r="G50" t="s">
        <v>34</v>
      </c>
      <c r="H50">
        <v>5</v>
      </c>
      <c r="I50" s="3">
        <v>24000</v>
      </c>
      <c r="J50" s="4">
        <v>0</v>
      </c>
      <c r="K50" s="3">
        <f t="shared" si="6"/>
        <v>120000</v>
      </c>
      <c r="L50" s="3">
        <f t="shared" si="7"/>
        <v>0</v>
      </c>
      <c r="M50" s="3">
        <f t="shared" si="8"/>
        <v>120000</v>
      </c>
      <c r="N50" s="3">
        <f t="shared" si="9"/>
        <v>120000</v>
      </c>
      <c r="O50" s="3">
        <f t="shared" si="10"/>
        <v>120000</v>
      </c>
      <c r="P50" s="3">
        <f t="shared" si="11"/>
        <v>120000</v>
      </c>
    </row>
    <row r="51" spans="1:16" hidden="1" x14ac:dyDescent="0.35">
      <c r="A51" t="s">
        <v>92</v>
      </c>
      <c r="B51" s="2">
        <v>45730</v>
      </c>
      <c r="C51" t="s">
        <v>36</v>
      </c>
      <c r="D51" t="s">
        <v>37</v>
      </c>
      <c r="E51" t="s">
        <v>41</v>
      </c>
      <c r="F51" t="s">
        <v>20</v>
      </c>
      <c r="G51" t="s">
        <v>50</v>
      </c>
      <c r="H51">
        <v>16</v>
      </c>
      <c r="I51" s="3">
        <v>95000</v>
      </c>
      <c r="J51" s="4">
        <v>0</v>
      </c>
      <c r="K51" s="3">
        <f t="shared" si="6"/>
        <v>1520000</v>
      </c>
      <c r="L51" s="3">
        <f t="shared" si="7"/>
        <v>0</v>
      </c>
      <c r="M51" s="3">
        <f t="shared" si="8"/>
        <v>1520000</v>
      </c>
      <c r="N51" s="3">
        <f t="shared" si="9"/>
        <v>1520000</v>
      </c>
      <c r="O51" s="3">
        <f t="shared" si="10"/>
        <v>1520000</v>
      </c>
      <c r="P51" s="3">
        <f t="shared" si="11"/>
        <v>1520000</v>
      </c>
    </row>
    <row r="52" spans="1:16" hidden="1" x14ac:dyDescent="0.35">
      <c r="A52" t="s">
        <v>93</v>
      </c>
      <c r="B52" s="2">
        <v>45785</v>
      </c>
      <c r="C52" t="s">
        <v>32</v>
      </c>
      <c r="D52" t="s">
        <v>45</v>
      </c>
      <c r="E52" t="s">
        <v>41</v>
      </c>
      <c r="F52" t="s">
        <v>24</v>
      </c>
      <c r="G52" t="s">
        <v>25</v>
      </c>
      <c r="H52">
        <v>9</v>
      </c>
      <c r="I52" s="3">
        <v>7000</v>
      </c>
      <c r="J52" s="4">
        <v>0.1</v>
      </c>
      <c r="K52" s="3">
        <f t="shared" si="6"/>
        <v>63000</v>
      </c>
      <c r="L52" s="3">
        <f t="shared" si="7"/>
        <v>6300</v>
      </c>
      <c r="M52" s="3">
        <f t="shared" si="8"/>
        <v>56700</v>
      </c>
      <c r="N52" s="3">
        <f t="shared" si="9"/>
        <v>56700</v>
      </c>
      <c r="O52" s="3">
        <f t="shared" si="10"/>
        <v>56700</v>
      </c>
      <c r="P52" s="3">
        <f t="shared" si="11"/>
        <v>56700</v>
      </c>
    </row>
    <row r="53" spans="1:16" hidden="1" x14ac:dyDescent="0.35">
      <c r="A53" t="s">
        <v>94</v>
      </c>
      <c r="B53" s="2">
        <v>45818</v>
      </c>
      <c r="C53" t="s">
        <v>32</v>
      </c>
      <c r="D53" t="s">
        <v>45</v>
      </c>
      <c r="E53" t="s">
        <v>23</v>
      </c>
      <c r="F53" t="s">
        <v>20</v>
      </c>
      <c r="G53" t="s">
        <v>50</v>
      </c>
      <c r="H53">
        <v>16</v>
      </c>
      <c r="I53" s="3">
        <v>95000</v>
      </c>
      <c r="J53" s="4">
        <v>0.15</v>
      </c>
      <c r="K53" s="3">
        <f t="shared" si="6"/>
        <v>1520000</v>
      </c>
      <c r="L53" s="3">
        <f t="shared" si="7"/>
        <v>228000</v>
      </c>
      <c r="M53" s="3">
        <f t="shared" si="8"/>
        <v>1292000</v>
      </c>
      <c r="N53" s="3">
        <f t="shared" si="9"/>
        <v>1292000</v>
      </c>
      <c r="O53" s="3">
        <f t="shared" si="10"/>
        <v>1292000</v>
      </c>
      <c r="P53" s="3">
        <f t="shared" si="11"/>
        <v>1292000</v>
      </c>
    </row>
    <row r="54" spans="1:16" hidden="1" x14ac:dyDescent="0.35">
      <c r="A54" t="s">
        <v>95</v>
      </c>
      <c r="B54" s="2">
        <v>45716</v>
      </c>
      <c r="C54" t="s">
        <v>32</v>
      </c>
      <c r="D54" t="s">
        <v>33</v>
      </c>
      <c r="E54" t="s">
        <v>41</v>
      </c>
      <c r="F54" t="s">
        <v>20</v>
      </c>
      <c r="G54" t="s">
        <v>38</v>
      </c>
      <c r="H54">
        <v>19</v>
      </c>
      <c r="I54" s="3">
        <v>8500</v>
      </c>
      <c r="J54" s="4">
        <v>0.05</v>
      </c>
      <c r="K54" s="3">
        <f t="shared" si="6"/>
        <v>161500</v>
      </c>
      <c r="L54" s="3">
        <f t="shared" si="7"/>
        <v>8075</v>
      </c>
      <c r="M54" s="3">
        <f t="shared" si="8"/>
        <v>153425</v>
      </c>
      <c r="N54" s="3">
        <f t="shared" si="9"/>
        <v>153425</v>
      </c>
      <c r="O54" s="3">
        <f t="shared" si="10"/>
        <v>153425</v>
      </c>
      <c r="P54" s="3">
        <f t="shared" si="11"/>
        <v>153425</v>
      </c>
    </row>
    <row r="55" spans="1:16" x14ac:dyDescent="0.35">
      <c r="A55" t="s">
        <v>96</v>
      </c>
      <c r="B55" s="2">
        <v>45820</v>
      </c>
      <c r="C55" t="s">
        <v>17</v>
      </c>
      <c r="D55" t="s">
        <v>57</v>
      </c>
      <c r="E55" t="s">
        <v>19</v>
      </c>
      <c r="F55" t="s">
        <v>29</v>
      </c>
      <c r="G55" t="s">
        <v>30</v>
      </c>
      <c r="H55">
        <v>4</v>
      </c>
      <c r="I55" s="3">
        <v>250</v>
      </c>
      <c r="J55" s="4">
        <v>0.05</v>
      </c>
      <c r="K55" s="3">
        <f t="shared" si="6"/>
        <v>1000</v>
      </c>
      <c r="L55" s="3">
        <f t="shared" si="7"/>
        <v>50</v>
      </c>
      <c r="M55" s="3">
        <f t="shared" si="8"/>
        <v>950</v>
      </c>
      <c r="N55" s="3">
        <f t="shared" si="9"/>
        <v>950</v>
      </c>
      <c r="O55" s="3">
        <f t="shared" si="10"/>
        <v>950</v>
      </c>
      <c r="P55" s="3">
        <f t="shared" si="11"/>
        <v>950</v>
      </c>
    </row>
    <row r="56" spans="1:16" hidden="1" x14ac:dyDescent="0.35">
      <c r="A56" t="s">
        <v>97</v>
      </c>
      <c r="B56" s="2">
        <v>45968</v>
      </c>
      <c r="C56" t="s">
        <v>32</v>
      </c>
      <c r="D56" t="s">
        <v>45</v>
      </c>
      <c r="E56" t="s">
        <v>23</v>
      </c>
      <c r="F56" t="s">
        <v>24</v>
      </c>
      <c r="G56" t="s">
        <v>34</v>
      </c>
      <c r="H56">
        <v>11</v>
      </c>
      <c r="I56" s="3">
        <v>24000</v>
      </c>
      <c r="J56" s="4">
        <v>0.05</v>
      </c>
      <c r="K56" s="3">
        <f t="shared" si="6"/>
        <v>264000</v>
      </c>
      <c r="L56" s="3">
        <f t="shared" si="7"/>
        <v>13200</v>
      </c>
      <c r="M56" s="3">
        <f t="shared" si="8"/>
        <v>250800</v>
      </c>
      <c r="N56" s="3">
        <f t="shared" si="9"/>
        <v>250800</v>
      </c>
      <c r="O56" s="3">
        <f t="shared" si="10"/>
        <v>250800</v>
      </c>
      <c r="P56" s="3">
        <f t="shared" si="11"/>
        <v>250800</v>
      </c>
    </row>
    <row r="57" spans="1:16" hidden="1" x14ac:dyDescent="0.35">
      <c r="A57" t="s">
        <v>98</v>
      </c>
      <c r="B57" s="2">
        <v>45747</v>
      </c>
      <c r="C57" t="s">
        <v>17</v>
      </c>
      <c r="D57" t="s">
        <v>18</v>
      </c>
      <c r="E57" t="s">
        <v>23</v>
      </c>
      <c r="F57" t="s">
        <v>20</v>
      </c>
      <c r="G57" t="s">
        <v>21</v>
      </c>
      <c r="H57">
        <v>20</v>
      </c>
      <c r="I57" s="3">
        <v>1500</v>
      </c>
      <c r="J57" s="4">
        <v>0.05</v>
      </c>
      <c r="K57" s="3">
        <f t="shared" si="6"/>
        <v>30000</v>
      </c>
      <c r="L57" s="3">
        <f t="shared" si="7"/>
        <v>1500</v>
      </c>
      <c r="M57" s="3">
        <f t="shared" si="8"/>
        <v>28500</v>
      </c>
      <c r="N57" s="3">
        <f t="shared" si="9"/>
        <v>28500</v>
      </c>
      <c r="O57" s="3">
        <f t="shared" si="10"/>
        <v>28500</v>
      </c>
      <c r="P57" s="3">
        <f t="shared" si="11"/>
        <v>28500</v>
      </c>
    </row>
    <row r="58" spans="1:16" hidden="1" x14ac:dyDescent="0.35">
      <c r="A58" t="s">
        <v>99</v>
      </c>
      <c r="B58" s="2">
        <v>45920</v>
      </c>
      <c r="C58" t="s">
        <v>36</v>
      </c>
      <c r="D58" t="s">
        <v>43</v>
      </c>
      <c r="E58" t="s">
        <v>23</v>
      </c>
      <c r="F58" t="s">
        <v>24</v>
      </c>
      <c r="G58" t="s">
        <v>58</v>
      </c>
      <c r="H58">
        <v>25</v>
      </c>
      <c r="I58" s="3">
        <v>12000</v>
      </c>
      <c r="J58" s="4">
        <v>0</v>
      </c>
      <c r="K58" s="3">
        <f t="shared" si="6"/>
        <v>300000</v>
      </c>
      <c r="L58" s="3">
        <f t="shared" si="7"/>
        <v>0</v>
      </c>
      <c r="M58" s="3">
        <f t="shared" si="8"/>
        <v>300000</v>
      </c>
      <c r="N58" s="3">
        <f t="shared" si="9"/>
        <v>300000</v>
      </c>
      <c r="O58" s="3">
        <f t="shared" si="10"/>
        <v>300000</v>
      </c>
      <c r="P58" s="3">
        <f t="shared" si="11"/>
        <v>300000</v>
      </c>
    </row>
    <row r="59" spans="1:16" hidden="1" x14ac:dyDescent="0.35">
      <c r="A59" t="s">
        <v>100</v>
      </c>
      <c r="B59" s="2">
        <v>45703</v>
      </c>
      <c r="C59" t="s">
        <v>32</v>
      </c>
      <c r="D59" t="s">
        <v>45</v>
      </c>
      <c r="E59" t="s">
        <v>19</v>
      </c>
      <c r="F59" t="s">
        <v>29</v>
      </c>
      <c r="G59" t="s">
        <v>47</v>
      </c>
      <c r="H59">
        <v>1</v>
      </c>
      <c r="I59" s="3">
        <v>600</v>
      </c>
      <c r="J59" s="4">
        <v>0</v>
      </c>
      <c r="K59" s="3">
        <f t="shared" si="6"/>
        <v>600</v>
      </c>
      <c r="L59" s="3">
        <f t="shared" si="7"/>
        <v>0</v>
      </c>
      <c r="M59" s="3">
        <f t="shared" si="8"/>
        <v>600</v>
      </c>
      <c r="N59" s="3">
        <f t="shared" si="9"/>
        <v>600</v>
      </c>
      <c r="O59" s="3">
        <f t="shared" si="10"/>
        <v>600</v>
      </c>
      <c r="P59" s="3">
        <f t="shared" si="11"/>
        <v>600</v>
      </c>
    </row>
    <row r="60" spans="1:16" hidden="1" x14ac:dyDescent="0.35">
      <c r="A60" t="s">
        <v>101</v>
      </c>
      <c r="B60" s="2">
        <v>45844</v>
      </c>
      <c r="C60" t="s">
        <v>27</v>
      </c>
      <c r="D60" t="s">
        <v>40</v>
      </c>
      <c r="E60" t="s">
        <v>19</v>
      </c>
      <c r="F60" t="s">
        <v>20</v>
      </c>
      <c r="G60" t="s">
        <v>21</v>
      </c>
      <c r="H60">
        <v>13</v>
      </c>
      <c r="I60" s="3">
        <v>1500</v>
      </c>
      <c r="J60" s="4">
        <v>0.05</v>
      </c>
      <c r="K60" s="3">
        <f t="shared" si="6"/>
        <v>19500</v>
      </c>
      <c r="L60" s="3">
        <f t="shared" si="7"/>
        <v>975</v>
      </c>
      <c r="M60" s="3">
        <f t="shared" si="8"/>
        <v>18525</v>
      </c>
      <c r="N60" s="3">
        <f t="shared" si="9"/>
        <v>18525</v>
      </c>
      <c r="O60" s="3">
        <f t="shared" si="10"/>
        <v>18525</v>
      </c>
      <c r="P60" s="3">
        <f t="shared" si="11"/>
        <v>18525</v>
      </c>
    </row>
    <row r="61" spans="1:16" hidden="1" x14ac:dyDescent="0.35">
      <c r="A61" t="s">
        <v>102</v>
      </c>
      <c r="B61" s="2">
        <v>45713</v>
      </c>
      <c r="C61" t="s">
        <v>32</v>
      </c>
      <c r="D61" t="s">
        <v>33</v>
      </c>
      <c r="E61" t="s">
        <v>23</v>
      </c>
      <c r="F61" t="s">
        <v>29</v>
      </c>
      <c r="G61" t="s">
        <v>73</v>
      </c>
      <c r="H61">
        <v>20</v>
      </c>
      <c r="I61" s="3">
        <v>350</v>
      </c>
      <c r="J61" s="4">
        <v>0.1</v>
      </c>
      <c r="K61" s="3">
        <f t="shared" si="6"/>
        <v>7000</v>
      </c>
      <c r="L61" s="3">
        <f t="shared" si="7"/>
        <v>700</v>
      </c>
      <c r="M61" s="3">
        <f t="shared" si="8"/>
        <v>6300</v>
      </c>
      <c r="N61" s="3">
        <f t="shared" si="9"/>
        <v>6300</v>
      </c>
      <c r="O61" s="3">
        <f t="shared" si="10"/>
        <v>6300</v>
      </c>
      <c r="P61" s="3">
        <f t="shared" si="11"/>
        <v>6300</v>
      </c>
    </row>
    <row r="62" spans="1:16" hidden="1" x14ac:dyDescent="0.35">
      <c r="A62" t="s">
        <v>103</v>
      </c>
      <c r="B62" s="2">
        <v>46007</v>
      </c>
      <c r="C62" t="s">
        <v>27</v>
      </c>
      <c r="D62" t="s">
        <v>40</v>
      </c>
      <c r="E62" t="s">
        <v>23</v>
      </c>
      <c r="F62" t="s">
        <v>29</v>
      </c>
      <c r="G62" t="s">
        <v>73</v>
      </c>
      <c r="H62">
        <v>24</v>
      </c>
      <c r="I62" s="3">
        <v>350</v>
      </c>
      <c r="J62" s="4">
        <v>0.1</v>
      </c>
      <c r="K62" s="3">
        <f t="shared" si="6"/>
        <v>8400</v>
      </c>
      <c r="L62" s="3">
        <f t="shared" si="7"/>
        <v>840</v>
      </c>
      <c r="M62" s="3">
        <f t="shared" si="8"/>
        <v>7560</v>
      </c>
      <c r="N62" s="3">
        <f t="shared" si="9"/>
        <v>7560</v>
      </c>
      <c r="O62" s="3">
        <f t="shared" si="10"/>
        <v>7560</v>
      </c>
      <c r="P62" s="3">
        <f t="shared" si="11"/>
        <v>7560</v>
      </c>
    </row>
    <row r="63" spans="1:16" hidden="1" x14ac:dyDescent="0.35">
      <c r="A63" t="s">
        <v>104</v>
      </c>
      <c r="B63" s="2">
        <v>45661</v>
      </c>
      <c r="C63" t="s">
        <v>32</v>
      </c>
      <c r="D63" t="s">
        <v>33</v>
      </c>
      <c r="E63" t="s">
        <v>19</v>
      </c>
      <c r="F63" t="s">
        <v>24</v>
      </c>
      <c r="G63" t="s">
        <v>58</v>
      </c>
      <c r="H63">
        <v>15</v>
      </c>
      <c r="I63" s="3">
        <v>12000</v>
      </c>
      <c r="J63" s="4">
        <v>0.05</v>
      </c>
      <c r="K63" s="3">
        <f t="shared" si="6"/>
        <v>180000</v>
      </c>
      <c r="L63" s="3">
        <f t="shared" si="7"/>
        <v>9000</v>
      </c>
      <c r="M63" s="3">
        <f t="shared" si="8"/>
        <v>171000</v>
      </c>
      <c r="N63" s="3">
        <f t="shared" si="9"/>
        <v>171000</v>
      </c>
      <c r="O63" s="3">
        <f t="shared" si="10"/>
        <v>171000</v>
      </c>
      <c r="P63" s="3">
        <f t="shared" si="11"/>
        <v>171000</v>
      </c>
    </row>
    <row r="64" spans="1:16" hidden="1" x14ac:dyDescent="0.35">
      <c r="A64" t="s">
        <v>105</v>
      </c>
      <c r="B64" s="2">
        <v>45704</v>
      </c>
      <c r="C64" t="s">
        <v>27</v>
      </c>
      <c r="D64" t="s">
        <v>28</v>
      </c>
      <c r="E64" t="s">
        <v>19</v>
      </c>
      <c r="F64" t="s">
        <v>20</v>
      </c>
      <c r="G64" t="s">
        <v>38</v>
      </c>
      <c r="H64">
        <v>4</v>
      </c>
      <c r="I64" s="3">
        <v>8500</v>
      </c>
      <c r="J64" s="4">
        <v>0.05</v>
      </c>
      <c r="K64" s="3">
        <f t="shared" si="6"/>
        <v>34000</v>
      </c>
      <c r="L64" s="3">
        <f t="shared" si="7"/>
        <v>1700</v>
      </c>
      <c r="M64" s="3">
        <f t="shared" si="8"/>
        <v>32300</v>
      </c>
      <c r="N64" s="3">
        <f t="shared" si="9"/>
        <v>32300</v>
      </c>
      <c r="O64" s="3">
        <f t="shared" si="10"/>
        <v>32300</v>
      </c>
      <c r="P64" s="3">
        <f t="shared" si="11"/>
        <v>32300</v>
      </c>
    </row>
    <row r="65" spans="1:16" hidden="1" x14ac:dyDescent="0.35">
      <c r="A65" t="s">
        <v>106</v>
      </c>
      <c r="B65" s="2">
        <v>45839</v>
      </c>
      <c r="C65" t="s">
        <v>17</v>
      </c>
      <c r="D65" t="s">
        <v>18</v>
      </c>
      <c r="E65" t="s">
        <v>41</v>
      </c>
      <c r="F65" t="s">
        <v>24</v>
      </c>
      <c r="G65" t="s">
        <v>58</v>
      </c>
      <c r="H65">
        <v>9</v>
      </c>
      <c r="I65" s="3">
        <v>12000</v>
      </c>
      <c r="J65" s="4">
        <v>0</v>
      </c>
      <c r="K65" s="3">
        <f t="shared" si="6"/>
        <v>108000</v>
      </c>
      <c r="L65" s="3">
        <f t="shared" si="7"/>
        <v>0</v>
      </c>
      <c r="M65" s="3">
        <f t="shared" si="8"/>
        <v>108000</v>
      </c>
      <c r="N65" s="3">
        <f t="shared" si="9"/>
        <v>108000</v>
      </c>
      <c r="O65" s="3">
        <f t="shared" si="10"/>
        <v>108000</v>
      </c>
      <c r="P65" s="3">
        <f t="shared" si="11"/>
        <v>108000</v>
      </c>
    </row>
    <row r="66" spans="1:16" hidden="1" x14ac:dyDescent="0.35">
      <c r="A66" t="s">
        <v>107</v>
      </c>
      <c r="B66" s="2">
        <v>45823</v>
      </c>
      <c r="C66" t="s">
        <v>27</v>
      </c>
      <c r="D66" t="s">
        <v>28</v>
      </c>
      <c r="E66" t="s">
        <v>23</v>
      </c>
      <c r="F66" t="s">
        <v>20</v>
      </c>
      <c r="G66" t="s">
        <v>21</v>
      </c>
      <c r="H66">
        <v>7</v>
      </c>
      <c r="I66" s="3">
        <v>1500</v>
      </c>
      <c r="J66" s="4">
        <v>0.1</v>
      </c>
      <c r="K66" s="3">
        <f t="shared" ref="K66:K97" si="12">H66*I66</f>
        <v>10500</v>
      </c>
      <c r="L66" s="3">
        <f t="shared" ref="L66:L97" si="13">H66*I66*J66</f>
        <v>1050</v>
      </c>
      <c r="M66" s="3">
        <f t="shared" ref="M66:M97" si="14">H66*I66*(1-J66)</f>
        <v>9450</v>
      </c>
      <c r="N66" s="3">
        <f t="shared" ref="N66:N97" si="15">ROUND(H66*I66*(1-J66),0)</f>
        <v>9450</v>
      </c>
      <c r="O66" s="3">
        <f t="shared" ref="O66:O97" si="16">ROUNDUP(H66*I66*(1-J66),0)</f>
        <v>9450</v>
      </c>
      <c r="P66" s="3">
        <f t="shared" ref="P66:P97" si="17">ROUNDDOWN(H66*I66*(1-J66),0)</f>
        <v>9450</v>
      </c>
    </row>
    <row r="67" spans="1:16" hidden="1" x14ac:dyDescent="0.35">
      <c r="A67" t="s">
        <v>108</v>
      </c>
      <c r="B67" s="2">
        <v>45881</v>
      </c>
      <c r="C67" t="s">
        <v>36</v>
      </c>
      <c r="D67" t="s">
        <v>43</v>
      </c>
      <c r="E67" t="s">
        <v>23</v>
      </c>
      <c r="F67" t="s">
        <v>24</v>
      </c>
      <c r="G67" t="s">
        <v>34</v>
      </c>
      <c r="H67">
        <v>25</v>
      </c>
      <c r="I67" s="3">
        <v>24000</v>
      </c>
      <c r="J67" s="4">
        <v>0.05</v>
      </c>
      <c r="K67" s="3">
        <f t="shared" si="12"/>
        <v>600000</v>
      </c>
      <c r="L67" s="3">
        <f t="shared" si="13"/>
        <v>30000</v>
      </c>
      <c r="M67" s="3">
        <f t="shared" si="14"/>
        <v>570000</v>
      </c>
      <c r="N67" s="3">
        <f t="shared" si="15"/>
        <v>570000</v>
      </c>
      <c r="O67" s="3">
        <f t="shared" si="16"/>
        <v>570000</v>
      </c>
      <c r="P67" s="3">
        <f t="shared" si="17"/>
        <v>570000</v>
      </c>
    </row>
    <row r="68" spans="1:16" hidden="1" x14ac:dyDescent="0.35">
      <c r="A68" t="s">
        <v>109</v>
      </c>
      <c r="B68" s="2">
        <v>46013</v>
      </c>
      <c r="C68" t="s">
        <v>32</v>
      </c>
      <c r="D68" t="s">
        <v>33</v>
      </c>
      <c r="E68" t="s">
        <v>23</v>
      </c>
      <c r="F68" t="s">
        <v>29</v>
      </c>
      <c r="G68" t="s">
        <v>30</v>
      </c>
      <c r="H68">
        <v>13</v>
      </c>
      <c r="I68" s="3">
        <v>250</v>
      </c>
      <c r="J68" s="4">
        <v>0</v>
      </c>
      <c r="K68" s="3">
        <f t="shared" si="12"/>
        <v>3250</v>
      </c>
      <c r="L68" s="3">
        <f t="shared" si="13"/>
        <v>0</v>
      </c>
      <c r="M68" s="3">
        <f t="shared" si="14"/>
        <v>3250</v>
      </c>
      <c r="N68" s="3">
        <f t="shared" si="15"/>
        <v>3250</v>
      </c>
      <c r="O68" s="3">
        <f t="shared" si="16"/>
        <v>3250</v>
      </c>
      <c r="P68" s="3">
        <f t="shared" si="17"/>
        <v>3250</v>
      </c>
    </row>
    <row r="69" spans="1:16" x14ac:dyDescent="0.35">
      <c r="A69" t="s">
        <v>110</v>
      </c>
      <c r="B69" s="2">
        <v>45787</v>
      </c>
      <c r="C69" t="s">
        <v>17</v>
      </c>
      <c r="D69" t="s">
        <v>57</v>
      </c>
      <c r="E69" t="s">
        <v>23</v>
      </c>
      <c r="F69" t="s">
        <v>20</v>
      </c>
      <c r="G69" t="s">
        <v>38</v>
      </c>
      <c r="H69">
        <v>8</v>
      </c>
      <c r="I69" s="3">
        <v>8500</v>
      </c>
      <c r="J69" s="4">
        <v>0</v>
      </c>
      <c r="K69" s="3">
        <f t="shared" si="12"/>
        <v>68000</v>
      </c>
      <c r="L69" s="3">
        <f t="shared" si="13"/>
        <v>0</v>
      </c>
      <c r="M69" s="3">
        <f t="shared" si="14"/>
        <v>68000</v>
      </c>
      <c r="N69" s="3">
        <f t="shared" si="15"/>
        <v>68000</v>
      </c>
      <c r="O69" s="3">
        <f t="shared" si="16"/>
        <v>68000</v>
      </c>
      <c r="P69" s="3">
        <f t="shared" si="17"/>
        <v>68000</v>
      </c>
    </row>
    <row r="70" spans="1:16" hidden="1" x14ac:dyDescent="0.35">
      <c r="A70" t="s">
        <v>111</v>
      </c>
      <c r="B70" s="2">
        <v>45850</v>
      </c>
      <c r="C70" t="s">
        <v>27</v>
      </c>
      <c r="D70" t="s">
        <v>28</v>
      </c>
      <c r="E70" t="s">
        <v>23</v>
      </c>
      <c r="F70" t="s">
        <v>29</v>
      </c>
      <c r="G70" t="s">
        <v>47</v>
      </c>
      <c r="H70">
        <v>12</v>
      </c>
      <c r="I70" s="3">
        <v>600</v>
      </c>
      <c r="J70" s="4">
        <v>0.1</v>
      </c>
      <c r="K70" s="3">
        <f t="shared" si="12"/>
        <v>7200</v>
      </c>
      <c r="L70" s="3">
        <f t="shared" si="13"/>
        <v>720</v>
      </c>
      <c r="M70" s="3">
        <f t="shared" si="14"/>
        <v>6480</v>
      </c>
      <c r="N70" s="3">
        <f t="shared" si="15"/>
        <v>6480</v>
      </c>
      <c r="O70" s="3">
        <f t="shared" si="16"/>
        <v>6480</v>
      </c>
      <c r="P70" s="3">
        <f t="shared" si="17"/>
        <v>6480</v>
      </c>
    </row>
    <row r="71" spans="1:16" hidden="1" x14ac:dyDescent="0.35">
      <c r="A71" t="s">
        <v>112</v>
      </c>
      <c r="B71" s="2">
        <v>46005</v>
      </c>
      <c r="C71" t="s">
        <v>27</v>
      </c>
      <c r="D71" t="s">
        <v>40</v>
      </c>
      <c r="E71" t="s">
        <v>41</v>
      </c>
      <c r="F71" t="s">
        <v>20</v>
      </c>
      <c r="G71" t="s">
        <v>21</v>
      </c>
      <c r="H71">
        <v>4</v>
      </c>
      <c r="I71" s="3">
        <v>1500</v>
      </c>
      <c r="J71" s="4">
        <v>0.1</v>
      </c>
      <c r="K71" s="3">
        <f t="shared" si="12"/>
        <v>6000</v>
      </c>
      <c r="L71" s="3">
        <f t="shared" si="13"/>
        <v>600</v>
      </c>
      <c r="M71" s="3">
        <f t="shared" si="14"/>
        <v>5400</v>
      </c>
      <c r="N71" s="3">
        <f t="shared" si="15"/>
        <v>5400</v>
      </c>
      <c r="O71" s="3">
        <f t="shared" si="16"/>
        <v>5400</v>
      </c>
      <c r="P71" s="3">
        <f t="shared" si="17"/>
        <v>5400</v>
      </c>
    </row>
    <row r="72" spans="1:16" hidden="1" x14ac:dyDescent="0.35">
      <c r="A72" t="s">
        <v>113</v>
      </c>
      <c r="B72" s="2">
        <v>45961</v>
      </c>
      <c r="C72" t="s">
        <v>27</v>
      </c>
      <c r="D72" t="s">
        <v>28</v>
      </c>
      <c r="E72" t="s">
        <v>19</v>
      </c>
      <c r="F72" t="s">
        <v>24</v>
      </c>
      <c r="G72" t="s">
        <v>58</v>
      </c>
      <c r="H72">
        <v>8</v>
      </c>
      <c r="I72" s="3">
        <v>12000</v>
      </c>
      <c r="J72" s="4">
        <v>0.05</v>
      </c>
      <c r="K72" s="3">
        <f t="shared" si="12"/>
        <v>96000</v>
      </c>
      <c r="L72" s="3">
        <f t="shared" si="13"/>
        <v>4800</v>
      </c>
      <c r="M72" s="3">
        <f t="shared" si="14"/>
        <v>91200</v>
      </c>
      <c r="N72" s="3">
        <f t="shared" si="15"/>
        <v>91200</v>
      </c>
      <c r="O72" s="3">
        <f t="shared" si="16"/>
        <v>91200</v>
      </c>
      <c r="P72" s="3">
        <f t="shared" si="17"/>
        <v>91200</v>
      </c>
    </row>
    <row r="73" spans="1:16" hidden="1" x14ac:dyDescent="0.35">
      <c r="A73" t="s">
        <v>114</v>
      </c>
      <c r="B73" s="2">
        <v>45678</v>
      </c>
      <c r="C73" t="s">
        <v>36</v>
      </c>
      <c r="D73" t="s">
        <v>37</v>
      </c>
      <c r="E73" t="s">
        <v>19</v>
      </c>
      <c r="F73" t="s">
        <v>24</v>
      </c>
      <c r="G73" t="s">
        <v>58</v>
      </c>
      <c r="H73">
        <v>15</v>
      </c>
      <c r="I73" s="3">
        <v>12000</v>
      </c>
      <c r="J73" s="4">
        <v>0.05</v>
      </c>
      <c r="K73" s="3">
        <f t="shared" si="12"/>
        <v>180000</v>
      </c>
      <c r="L73" s="3">
        <f t="shared" si="13"/>
        <v>9000</v>
      </c>
      <c r="M73" s="3">
        <f t="shared" si="14"/>
        <v>171000</v>
      </c>
      <c r="N73" s="3">
        <f t="shared" si="15"/>
        <v>171000</v>
      </c>
      <c r="O73" s="3">
        <f t="shared" si="16"/>
        <v>171000</v>
      </c>
      <c r="P73" s="3">
        <f t="shared" si="17"/>
        <v>171000</v>
      </c>
    </row>
    <row r="74" spans="1:16" hidden="1" x14ac:dyDescent="0.35">
      <c r="A74" t="s">
        <v>115</v>
      </c>
      <c r="B74" s="2">
        <v>46012</v>
      </c>
      <c r="C74" t="s">
        <v>36</v>
      </c>
      <c r="D74" t="s">
        <v>43</v>
      </c>
      <c r="E74" t="s">
        <v>23</v>
      </c>
      <c r="F74" t="s">
        <v>20</v>
      </c>
      <c r="G74" t="s">
        <v>38</v>
      </c>
      <c r="H74">
        <v>17</v>
      </c>
      <c r="I74" s="3">
        <v>8500</v>
      </c>
      <c r="J74" s="4">
        <v>0.1</v>
      </c>
      <c r="K74" s="3">
        <f t="shared" si="12"/>
        <v>144500</v>
      </c>
      <c r="L74" s="3">
        <f t="shared" si="13"/>
        <v>14450</v>
      </c>
      <c r="M74" s="3">
        <f t="shared" si="14"/>
        <v>130050</v>
      </c>
      <c r="N74" s="3">
        <f t="shared" si="15"/>
        <v>130050</v>
      </c>
      <c r="O74" s="3">
        <f t="shared" si="16"/>
        <v>130050</v>
      </c>
      <c r="P74" s="3">
        <f t="shared" si="17"/>
        <v>130050</v>
      </c>
    </row>
    <row r="75" spans="1:16" hidden="1" x14ac:dyDescent="0.35">
      <c r="A75" t="s">
        <v>116</v>
      </c>
      <c r="B75" s="2">
        <v>45706</v>
      </c>
      <c r="C75" t="s">
        <v>36</v>
      </c>
      <c r="D75" t="s">
        <v>37</v>
      </c>
      <c r="E75" t="s">
        <v>41</v>
      </c>
      <c r="F75" t="s">
        <v>20</v>
      </c>
      <c r="G75" t="s">
        <v>21</v>
      </c>
      <c r="H75">
        <v>2</v>
      </c>
      <c r="I75" s="3">
        <v>1500</v>
      </c>
      <c r="J75" s="4">
        <v>0.1</v>
      </c>
      <c r="K75" s="3">
        <f t="shared" si="12"/>
        <v>3000</v>
      </c>
      <c r="L75" s="3">
        <f t="shared" si="13"/>
        <v>300</v>
      </c>
      <c r="M75" s="3">
        <f t="shared" si="14"/>
        <v>2700</v>
      </c>
      <c r="N75" s="3">
        <f t="shared" si="15"/>
        <v>2700</v>
      </c>
      <c r="O75" s="3">
        <f t="shared" si="16"/>
        <v>2700</v>
      </c>
      <c r="P75" s="3">
        <f t="shared" si="17"/>
        <v>2700</v>
      </c>
    </row>
    <row r="76" spans="1:16" hidden="1" x14ac:dyDescent="0.35">
      <c r="A76" t="s">
        <v>117</v>
      </c>
      <c r="B76" s="2">
        <v>45704</v>
      </c>
      <c r="C76" t="s">
        <v>27</v>
      </c>
      <c r="D76" t="s">
        <v>28</v>
      </c>
      <c r="E76" t="s">
        <v>23</v>
      </c>
      <c r="F76" t="s">
        <v>29</v>
      </c>
      <c r="G76" t="s">
        <v>73</v>
      </c>
      <c r="H76">
        <v>5</v>
      </c>
      <c r="I76" s="3">
        <v>350</v>
      </c>
      <c r="J76" s="4">
        <v>0.1</v>
      </c>
      <c r="K76" s="3">
        <f t="shared" si="12"/>
        <v>1750</v>
      </c>
      <c r="L76" s="3">
        <f t="shared" si="13"/>
        <v>175</v>
      </c>
      <c r="M76" s="3">
        <f t="shared" si="14"/>
        <v>1575</v>
      </c>
      <c r="N76" s="3">
        <f t="shared" si="15"/>
        <v>1575</v>
      </c>
      <c r="O76" s="3">
        <f t="shared" si="16"/>
        <v>1575</v>
      </c>
      <c r="P76" s="3">
        <f t="shared" si="17"/>
        <v>1575</v>
      </c>
    </row>
    <row r="77" spans="1:16" hidden="1" x14ac:dyDescent="0.35">
      <c r="A77" t="s">
        <v>118</v>
      </c>
      <c r="B77" s="2">
        <v>45757</v>
      </c>
      <c r="C77" t="s">
        <v>17</v>
      </c>
      <c r="D77" t="s">
        <v>18</v>
      </c>
      <c r="E77" t="s">
        <v>41</v>
      </c>
      <c r="F77" t="s">
        <v>20</v>
      </c>
      <c r="G77" t="s">
        <v>50</v>
      </c>
      <c r="H77">
        <v>8</v>
      </c>
      <c r="I77" s="3">
        <v>95000</v>
      </c>
      <c r="J77" s="4">
        <v>0</v>
      </c>
      <c r="K77" s="3">
        <f t="shared" si="12"/>
        <v>760000</v>
      </c>
      <c r="L77" s="3">
        <f t="shared" si="13"/>
        <v>0</v>
      </c>
      <c r="M77" s="3">
        <f t="shared" si="14"/>
        <v>760000</v>
      </c>
      <c r="N77" s="3">
        <f t="shared" si="15"/>
        <v>760000</v>
      </c>
      <c r="O77" s="3">
        <f t="shared" si="16"/>
        <v>760000</v>
      </c>
      <c r="P77" s="3">
        <f t="shared" si="17"/>
        <v>760000</v>
      </c>
    </row>
    <row r="78" spans="1:16" hidden="1" x14ac:dyDescent="0.35">
      <c r="A78" t="s">
        <v>119</v>
      </c>
      <c r="B78" s="2">
        <v>45914</v>
      </c>
      <c r="C78" t="s">
        <v>27</v>
      </c>
      <c r="D78" t="s">
        <v>28</v>
      </c>
      <c r="E78" t="s">
        <v>41</v>
      </c>
      <c r="F78" t="s">
        <v>20</v>
      </c>
      <c r="G78" t="s">
        <v>38</v>
      </c>
      <c r="H78">
        <v>10</v>
      </c>
      <c r="I78" s="3">
        <v>8500</v>
      </c>
      <c r="J78" s="4">
        <v>0.1</v>
      </c>
      <c r="K78" s="3">
        <f t="shared" si="12"/>
        <v>85000</v>
      </c>
      <c r="L78" s="3">
        <f t="shared" si="13"/>
        <v>8500</v>
      </c>
      <c r="M78" s="3">
        <f t="shared" si="14"/>
        <v>76500</v>
      </c>
      <c r="N78" s="3">
        <f t="shared" si="15"/>
        <v>76500</v>
      </c>
      <c r="O78" s="3">
        <f t="shared" si="16"/>
        <v>76500</v>
      </c>
      <c r="P78" s="3">
        <f t="shared" si="17"/>
        <v>76500</v>
      </c>
    </row>
    <row r="79" spans="1:16" hidden="1" x14ac:dyDescent="0.35">
      <c r="A79" t="s">
        <v>120</v>
      </c>
      <c r="B79" s="2">
        <v>45989</v>
      </c>
      <c r="C79" t="s">
        <v>17</v>
      </c>
      <c r="D79" t="s">
        <v>18</v>
      </c>
      <c r="E79" t="s">
        <v>41</v>
      </c>
      <c r="F79" t="s">
        <v>24</v>
      </c>
      <c r="G79" t="s">
        <v>25</v>
      </c>
      <c r="H79">
        <v>3</v>
      </c>
      <c r="I79" s="3">
        <v>7000</v>
      </c>
      <c r="J79" s="4">
        <v>0</v>
      </c>
      <c r="K79" s="3">
        <f t="shared" si="12"/>
        <v>21000</v>
      </c>
      <c r="L79" s="3">
        <f t="shared" si="13"/>
        <v>0</v>
      </c>
      <c r="M79" s="3">
        <f t="shared" si="14"/>
        <v>21000</v>
      </c>
      <c r="N79" s="3">
        <f t="shared" si="15"/>
        <v>21000</v>
      </c>
      <c r="O79" s="3">
        <f t="shared" si="16"/>
        <v>21000</v>
      </c>
      <c r="P79" s="3">
        <f t="shared" si="17"/>
        <v>21000</v>
      </c>
    </row>
    <row r="80" spans="1:16" hidden="1" x14ac:dyDescent="0.35">
      <c r="A80" t="s">
        <v>121</v>
      </c>
      <c r="B80" s="2">
        <v>46004</v>
      </c>
      <c r="C80" t="s">
        <v>27</v>
      </c>
      <c r="D80" t="s">
        <v>40</v>
      </c>
      <c r="E80" t="s">
        <v>23</v>
      </c>
      <c r="F80" t="s">
        <v>24</v>
      </c>
      <c r="G80" t="s">
        <v>34</v>
      </c>
      <c r="H80">
        <v>21</v>
      </c>
      <c r="I80" s="3">
        <v>24000</v>
      </c>
      <c r="J80" s="4">
        <v>0.1</v>
      </c>
      <c r="K80" s="3">
        <f t="shared" si="12"/>
        <v>504000</v>
      </c>
      <c r="L80" s="3">
        <f t="shared" si="13"/>
        <v>50400</v>
      </c>
      <c r="M80" s="3">
        <f t="shared" si="14"/>
        <v>453600</v>
      </c>
      <c r="N80" s="3">
        <f t="shared" si="15"/>
        <v>453600</v>
      </c>
      <c r="O80" s="3">
        <f t="shared" si="16"/>
        <v>453600</v>
      </c>
      <c r="P80" s="3">
        <f t="shared" si="17"/>
        <v>453600</v>
      </c>
    </row>
    <row r="81" spans="1:16" hidden="1" x14ac:dyDescent="0.35">
      <c r="A81" t="s">
        <v>122</v>
      </c>
      <c r="B81" s="2">
        <v>45939</v>
      </c>
      <c r="C81" t="s">
        <v>27</v>
      </c>
      <c r="D81" t="s">
        <v>40</v>
      </c>
      <c r="E81" t="s">
        <v>23</v>
      </c>
      <c r="F81" t="s">
        <v>20</v>
      </c>
      <c r="G81" t="s">
        <v>38</v>
      </c>
      <c r="H81">
        <v>18</v>
      </c>
      <c r="I81" s="3">
        <v>8500</v>
      </c>
      <c r="J81" s="4">
        <v>0.05</v>
      </c>
      <c r="K81" s="3">
        <f t="shared" si="12"/>
        <v>153000</v>
      </c>
      <c r="L81" s="3">
        <f t="shared" si="13"/>
        <v>7650</v>
      </c>
      <c r="M81" s="3">
        <f t="shared" si="14"/>
        <v>145350</v>
      </c>
      <c r="N81" s="3">
        <f t="shared" si="15"/>
        <v>145350</v>
      </c>
      <c r="O81" s="3">
        <f t="shared" si="16"/>
        <v>145350</v>
      </c>
      <c r="P81" s="3">
        <f t="shared" si="17"/>
        <v>145350</v>
      </c>
    </row>
    <row r="82" spans="1:16" hidden="1" x14ac:dyDescent="0.35">
      <c r="A82" t="s">
        <v>123</v>
      </c>
      <c r="B82" s="2">
        <v>45739</v>
      </c>
      <c r="C82" t="s">
        <v>36</v>
      </c>
      <c r="D82" t="s">
        <v>37</v>
      </c>
      <c r="E82" t="s">
        <v>19</v>
      </c>
      <c r="F82" t="s">
        <v>20</v>
      </c>
      <c r="G82" t="s">
        <v>50</v>
      </c>
      <c r="H82">
        <v>17</v>
      </c>
      <c r="I82" s="3">
        <v>95000</v>
      </c>
      <c r="J82" s="4">
        <v>0</v>
      </c>
      <c r="K82" s="3">
        <f t="shared" si="12"/>
        <v>1615000</v>
      </c>
      <c r="L82" s="3">
        <f t="shared" si="13"/>
        <v>0</v>
      </c>
      <c r="M82" s="3">
        <f t="shared" si="14"/>
        <v>1615000</v>
      </c>
      <c r="N82" s="3">
        <f t="shared" si="15"/>
        <v>1615000</v>
      </c>
      <c r="O82" s="3">
        <f t="shared" si="16"/>
        <v>1615000</v>
      </c>
      <c r="P82" s="3">
        <f t="shared" si="17"/>
        <v>1615000</v>
      </c>
    </row>
    <row r="83" spans="1:16" hidden="1" x14ac:dyDescent="0.35">
      <c r="A83" t="s">
        <v>124</v>
      </c>
      <c r="B83" s="2">
        <v>45769</v>
      </c>
      <c r="C83" t="s">
        <v>17</v>
      </c>
      <c r="D83" t="s">
        <v>18</v>
      </c>
      <c r="E83" t="s">
        <v>19</v>
      </c>
      <c r="F83" t="s">
        <v>24</v>
      </c>
      <c r="G83" t="s">
        <v>25</v>
      </c>
      <c r="H83">
        <v>20</v>
      </c>
      <c r="I83" s="3">
        <v>7000</v>
      </c>
      <c r="J83" s="4">
        <v>0</v>
      </c>
      <c r="K83" s="3">
        <f t="shared" si="12"/>
        <v>140000</v>
      </c>
      <c r="L83" s="3">
        <f t="shared" si="13"/>
        <v>0</v>
      </c>
      <c r="M83" s="3">
        <f t="shared" si="14"/>
        <v>140000</v>
      </c>
      <c r="N83" s="3">
        <f t="shared" si="15"/>
        <v>140000</v>
      </c>
      <c r="O83" s="3">
        <f t="shared" si="16"/>
        <v>140000</v>
      </c>
      <c r="P83" s="3">
        <f t="shared" si="17"/>
        <v>140000</v>
      </c>
    </row>
    <row r="84" spans="1:16" hidden="1" x14ac:dyDescent="0.35">
      <c r="A84" t="s">
        <v>125</v>
      </c>
      <c r="B84" s="2">
        <v>46006</v>
      </c>
      <c r="C84" t="s">
        <v>32</v>
      </c>
      <c r="D84" t="s">
        <v>33</v>
      </c>
      <c r="E84" t="s">
        <v>23</v>
      </c>
      <c r="F84" t="s">
        <v>20</v>
      </c>
      <c r="G84" t="s">
        <v>21</v>
      </c>
      <c r="H84">
        <v>17</v>
      </c>
      <c r="I84" s="3">
        <v>1500</v>
      </c>
      <c r="J84" s="4">
        <v>0</v>
      </c>
      <c r="K84" s="3">
        <f t="shared" si="12"/>
        <v>25500</v>
      </c>
      <c r="L84" s="3">
        <f t="shared" si="13"/>
        <v>0</v>
      </c>
      <c r="M84" s="3">
        <f t="shared" si="14"/>
        <v>25500</v>
      </c>
      <c r="N84" s="3">
        <f t="shared" si="15"/>
        <v>25500</v>
      </c>
      <c r="O84" s="3">
        <f t="shared" si="16"/>
        <v>25500</v>
      </c>
      <c r="P84" s="3">
        <f t="shared" si="17"/>
        <v>25500</v>
      </c>
    </row>
    <row r="85" spans="1:16" hidden="1" x14ac:dyDescent="0.35">
      <c r="A85" t="s">
        <v>126</v>
      </c>
      <c r="B85" s="2">
        <v>45876</v>
      </c>
      <c r="C85" t="s">
        <v>27</v>
      </c>
      <c r="D85" t="s">
        <v>40</v>
      </c>
      <c r="E85" t="s">
        <v>19</v>
      </c>
      <c r="F85" t="s">
        <v>20</v>
      </c>
      <c r="G85" t="s">
        <v>21</v>
      </c>
      <c r="H85">
        <v>25</v>
      </c>
      <c r="I85" s="3">
        <v>1500</v>
      </c>
      <c r="J85" s="4">
        <v>0.1</v>
      </c>
      <c r="K85" s="3">
        <f t="shared" si="12"/>
        <v>37500</v>
      </c>
      <c r="L85" s="3">
        <f t="shared" si="13"/>
        <v>3750</v>
      </c>
      <c r="M85" s="3">
        <f t="shared" si="14"/>
        <v>33750</v>
      </c>
      <c r="N85" s="3">
        <f t="shared" si="15"/>
        <v>33750</v>
      </c>
      <c r="O85" s="3">
        <f t="shared" si="16"/>
        <v>33750</v>
      </c>
      <c r="P85" s="3">
        <f t="shared" si="17"/>
        <v>33750</v>
      </c>
    </row>
    <row r="86" spans="1:16" hidden="1" x14ac:dyDescent="0.35">
      <c r="A86" t="s">
        <v>127</v>
      </c>
      <c r="B86" s="2">
        <v>45863</v>
      </c>
      <c r="C86" t="s">
        <v>36</v>
      </c>
      <c r="D86" t="s">
        <v>43</v>
      </c>
      <c r="E86" t="s">
        <v>19</v>
      </c>
      <c r="F86" t="s">
        <v>29</v>
      </c>
      <c r="G86" t="s">
        <v>47</v>
      </c>
      <c r="H86">
        <v>7</v>
      </c>
      <c r="I86" s="3">
        <v>600</v>
      </c>
      <c r="J86" s="4">
        <v>0.1</v>
      </c>
      <c r="K86" s="3">
        <f t="shared" si="12"/>
        <v>4200</v>
      </c>
      <c r="L86" s="3">
        <f t="shared" si="13"/>
        <v>420</v>
      </c>
      <c r="M86" s="3">
        <f t="shared" si="14"/>
        <v>3780</v>
      </c>
      <c r="N86" s="3">
        <f t="shared" si="15"/>
        <v>3780</v>
      </c>
      <c r="O86" s="3">
        <f t="shared" si="16"/>
        <v>3780</v>
      </c>
      <c r="P86" s="3">
        <f t="shared" si="17"/>
        <v>3780</v>
      </c>
    </row>
    <row r="87" spans="1:16" hidden="1" x14ac:dyDescent="0.35">
      <c r="A87" t="s">
        <v>128</v>
      </c>
      <c r="B87" s="2">
        <v>45814</v>
      </c>
      <c r="C87" t="s">
        <v>36</v>
      </c>
      <c r="D87" t="s">
        <v>43</v>
      </c>
      <c r="E87" t="s">
        <v>23</v>
      </c>
      <c r="F87" t="s">
        <v>24</v>
      </c>
      <c r="G87" t="s">
        <v>58</v>
      </c>
      <c r="H87">
        <v>7</v>
      </c>
      <c r="I87" s="3">
        <v>12000</v>
      </c>
      <c r="J87" s="4">
        <v>0.1</v>
      </c>
      <c r="K87" s="3">
        <f t="shared" si="12"/>
        <v>84000</v>
      </c>
      <c r="L87" s="3">
        <f t="shared" si="13"/>
        <v>8400</v>
      </c>
      <c r="M87" s="3">
        <f t="shared" si="14"/>
        <v>75600</v>
      </c>
      <c r="N87" s="3">
        <f t="shared" si="15"/>
        <v>75600</v>
      </c>
      <c r="O87" s="3">
        <f t="shared" si="16"/>
        <v>75600</v>
      </c>
      <c r="P87" s="3">
        <f t="shared" si="17"/>
        <v>75600</v>
      </c>
    </row>
    <row r="88" spans="1:16" hidden="1" x14ac:dyDescent="0.35">
      <c r="A88" t="s">
        <v>129</v>
      </c>
      <c r="B88" s="2">
        <v>45692</v>
      </c>
      <c r="C88" t="s">
        <v>36</v>
      </c>
      <c r="D88" t="s">
        <v>43</v>
      </c>
      <c r="E88" t="s">
        <v>19</v>
      </c>
      <c r="F88" t="s">
        <v>24</v>
      </c>
      <c r="G88" t="s">
        <v>25</v>
      </c>
      <c r="H88">
        <v>9</v>
      </c>
      <c r="I88" s="3">
        <v>7000</v>
      </c>
      <c r="J88" s="4">
        <v>0.05</v>
      </c>
      <c r="K88" s="3">
        <f t="shared" si="12"/>
        <v>63000</v>
      </c>
      <c r="L88" s="3">
        <f t="shared" si="13"/>
        <v>3150</v>
      </c>
      <c r="M88" s="3">
        <f t="shared" si="14"/>
        <v>59850</v>
      </c>
      <c r="N88" s="3">
        <f t="shared" si="15"/>
        <v>59850</v>
      </c>
      <c r="O88" s="3">
        <f t="shared" si="16"/>
        <v>59850</v>
      </c>
      <c r="P88" s="3">
        <f t="shared" si="17"/>
        <v>59850</v>
      </c>
    </row>
    <row r="89" spans="1:16" hidden="1" x14ac:dyDescent="0.35">
      <c r="A89" t="s">
        <v>130</v>
      </c>
      <c r="B89" s="2">
        <v>45743</v>
      </c>
      <c r="C89" t="s">
        <v>32</v>
      </c>
      <c r="D89" t="s">
        <v>33</v>
      </c>
      <c r="E89" t="s">
        <v>19</v>
      </c>
      <c r="F89" t="s">
        <v>29</v>
      </c>
      <c r="G89" t="s">
        <v>47</v>
      </c>
      <c r="H89">
        <v>22</v>
      </c>
      <c r="I89" s="3">
        <v>600</v>
      </c>
      <c r="J89" s="4">
        <v>0</v>
      </c>
      <c r="K89" s="3">
        <f t="shared" si="12"/>
        <v>13200</v>
      </c>
      <c r="L89" s="3">
        <f t="shared" si="13"/>
        <v>0</v>
      </c>
      <c r="M89" s="3">
        <f t="shared" si="14"/>
        <v>13200</v>
      </c>
      <c r="N89" s="3">
        <f t="shared" si="15"/>
        <v>13200</v>
      </c>
      <c r="O89" s="3">
        <f t="shared" si="16"/>
        <v>13200</v>
      </c>
      <c r="P89" s="3">
        <f t="shared" si="17"/>
        <v>13200</v>
      </c>
    </row>
    <row r="90" spans="1:16" hidden="1" x14ac:dyDescent="0.35">
      <c r="A90" t="s">
        <v>131</v>
      </c>
      <c r="B90" s="2">
        <v>45950</v>
      </c>
      <c r="C90" t="s">
        <v>27</v>
      </c>
      <c r="D90" t="s">
        <v>28</v>
      </c>
      <c r="E90" t="s">
        <v>23</v>
      </c>
      <c r="F90" t="s">
        <v>29</v>
      </c>
      <c r="G90" t="s">
        <v>73</v>
      </c>
      <c r="H90">
        <v>16</v>
      </c>
      <c r="I90" s="3">
        <v>350</v>
      </c>
      <c r="J90" s="4">
        <v>0</v>
      </c>
      <c r="K90" s="3">
        <f t="shared" si="12"/>
        <v>5600</v>
      </c>
      <c r="L90" s="3">
        <f t="shared" si="13"/>
        <v>0</v>
      </c>
      <c r="M90" s="3">
        <f t="shared" si="14"/>
        <v>5600</v>
      </c>
      <c r="N90" s="3">
        <f t="shared" si="15"/>
        <v>5600</v>
      </c>
      <c r="O90" s="3">
        <f t="shared" si="16"/>
        <v>5600</v>
      </c>
      <c r="P90" s="3">
        <f t="shared" si="17"/>
        <v>5600</v>
      </c>
    </row>
    <row r="91" spans="1:16" hidden="1" x14ac:dyDescent="0.35">
      <c r="A91" t="s">
        <v>132</v>
      </c>
      <c r="B91" s="2">
        <v>45875</v>
      </c>
      <c r="C91" t="s">
        <v>27</v>
      </c>
      <c r="D91" t="s">
        <v>40</v>
      </c>
      <c r="E91" t="s">
        <v>23</v>
      </c>
      <c r="F91" t="s">
        <v>20</v>
      </c>
      <c r="G91" t="s">
        <v>21</v>
      </c>
      <c r="H91">
        <v>5</v>
      </c>
      <c r="I91" s="3">
        <v>1500</v>
      </c>
      <c r="J91" s="4">
        <v>0.15</v>
      </c>
      <c r="K91" s="3">
        <f t="shared" si="12"/>
        <v>7500</v>
      </c>
      <c r="L91" s="3">
        <f t="shared" si="13"/>
        <v>1125</v>
      </c>
      <c r="M91" s="3">
        <f t="shared" si="14"/>
        <v>6375</v>
      </c>
      <c r="N91" s="3">
        <f t="shared" si="15"/>
        <v>6375</v>
      </c>
      <c r="O91" s="3">
        <f t="shared" si="16"/>
        <v>6375</v>
      </c>
      <c r="P91" s="3">
        <f t="shared" si="17"/>
        <v>6375</v>
      </c>
    </row>
    <row r="92" spans="1:16" hidden="1" x14ac:dyDescent="0.35">
      <c r="A92" t="s">
        <v>133</v>
      </c>
      <c r="B92" s="2">
        <v>45874</v>
      </c>
      <c r="C92" t="s">
        <v>32</v>
      </c>
      <c r="D92" t="s">
        <v>45</v>
      </c>
      <c r="E92" t="s">
        <v>23</v>
      </c>
      <c r="F92" t="s">
        <v>20</v>
      </c>
      <c r="G92" t="s">
        <v>21</v>
      </c>
      <c r="H92">
        <v>21</v>
      </c>
      <c r="I92" s="3">
        <v>1500</v>
      </c>
      <c r="J92" s="4">
        <v>0</v>
      </c>
      <c r="K92" s="3">
        <f t="shared" si="12"/>
        <v>31500</v>
      </c>
      <c r="L92" s="3">
        <f t="shared" si="13"/>
        <v>0</v>
      </c>
      <c r="M92" s="3">
        <f t="shared" si="14"/>
        <v>31500</v>
      </c>
      <c r="N92" s="3">
        <f t="shared" si="15"/>
        <v>31500</v>
      </c>
      <c r="O92" s="3">
        <f t="shared" si="16"/>
        <v>31500</v>
      </c>
      <c r="P92" s="3">
        <f t="shared" si="17"/>
        <v>31500</v>
      </c>
    </row>
    <row r="93" spans="1:16" hidden="1" x14ac:dyDescent="0.35">
      <c r="A93" t="s">
        <v>134</v>
      </c>
      <c r="B93" s="2">
        <v>45713</v>
      </c>
      <c r="C93" t="s">
        <v>36</v>
      </c>
      <c r="D93" t="s">
        <v>43</v>
      </c>
      <c r="E93" t="s">
        <v>19</v>
      </c>
      <c r="F93" t="s">
        <v>20</v>
      </c>
      <c r="G93" t="s">
        <v>38</v>
      </c>
      <c r="H93">
        <v>22</v>
      </c>
      <c r="I93" s="3">
        <v>8500</v>
      </c>
      <c r="J93" s="4">
        <v>0</v>
      </c>
      <c r="K93" s="3">
        <f t="shared" si="12"/>
        <v>187000</v>
      </c>
      <c r="L93" s="3">
        <f t="shared" si="13"/>
        <v>0</v>
      </c>
      <c r="M93" s="3">
        <f t="shared" si="14"/>
        <v>187000</v>
      </c>
      <c r="N93" s="3">
        <f t="shared" si="15"/>
        <v>187000</v>
      </c>
      <c r="O93" s="3">
        <f t="shared" si="16"/>
        <v>187000</v>
      </c>
      <c r="P93" s="3">
        <f t="shared" si="17"/>
        <v>187000</v>
      </c>
    </row>
    <row r="94" spans="1:16" x14ac:dyDescent="0.35">
      <c r="A94" t="s">
        <v>135</v>
      </c>
      <c r="B94" s="2">
        <v>45846</v>
      </c>
      <c r="C94" t="s">
        <v>17</v>
      </c>
      <c r="D94" t="s">
        <v>57</v>
      </c>
      <c r="E94" t="s">
        <v>19</v>
      </c>
      <c r="F94" t="s">
        <v>29</v>
      </c>
      <c r="G94" t="s">
        <v>47</v>
      </c>
      <c r="H94">
        <v>17</v>
      </c>
      <c r="I94" s="3">
        <v>600</v>
      </c>
      <c r="J94" s="4">
        <v>0.1</v>
      </c>
      <c r="K94" s="3">
        <f t="shared" si="12"/>
        <v>10200</v>
      </c>
      <c r="L94" s="3">
        <f t="shared" si="13"/>
        <v>1020</v>
      </c>
      <c r="M94" s="3">
        <f t="shared" si="14"/>
        <v>9180</v>
      </c>
      <c r="N94" s="3">
        <f t="shared" si="15"/>
        <v>9180</v>
      </c>
      <c r="O94" s="3">
        <f t="shared" si="16"/>
        <v>9180</v>
      </c>
      <c r="P94" s="3">
        <f t="shared" si="17"/>
        <v>9180</v>
      </c>
    </row>
    <row r="95" spans="1:16" hidden="1" x14ac:dyDescent="0.35">
      <c r="A95" t="s">
        <v>136</v>
      </c>
      <c r="B95" s="2">
        <v>45784</v>
      </c>
      <c r="C95" t="s">
        <v>27</v>
      </c>
      <c r="D95" t="s">
        <v>40</v>
      </c>
      <c r="E95" t="s">
        <v>41</v>
      </c>
      <c r="F95" t="s">
        <v>20</v>
      </c>
      <c r="G95" t="s">
        <v>21</v>
      </c>
      <c r="H95">
        <v>15</v>
      </c>
      <c r="I95" s="3">
        <v>1500</v>
      </c>
      <c r="J95" s="4">
        <v>0</v>
      </c>
      <c r="K95" s="3">
        <f t="shared" si="12"/>
        <v>22500</v>
      </c>
      <c r="L95" s="3">
        <f t="shared" si="13"/>
        <v>0</v>
      </c>
      <c r="M95" s="3">
        <f t="shared" si="14"/>
        <v>22500</v>
      </c>
      <c r="N95" s="3">
        <f t="shared" si="15"/>
        <v>22500</v>
      </c>
      <c r="O95" s="3">
        <f t="shared" si="16"/>
        <v>22500</v>
      </c>
      <c r="P95" s="3">
        <f t="shared" si="17"/>
        <v>22500</v>
      </c>
    </row>
    <row r="96" spans="1:16" hidden="1" x14ac:dyDescent="0.35">
      <c r="A96" t="s">
        <v>137</v>
      </c>
      <c r="B96" s="2">
        <v>45689</v>
      </c>
      <c r="C96" t="s">
        <v>27</v>
      </c>
      <c r="D96" t="s">
        <v>28</v>
      </c>
      <c r="E96" t="s">
        <v>19</v>
      </c>
      <c r="F96" t="s">
        <v>20</v>
      </c>
      <c r="G96" t="s">
        <v>21</v>
      </c>
      <c r="H96">
        <v>7</v>
      </c>
      <c r="I96" s="3">
        <v>1500</v>
      </c>
      <c r="J96" s="4">
        <v>0</v>
      </c>
      <c r="K96" s="3">
        <f t="shared" si="12"/>
        <v>10500</v>
      </c>
      <c r="L96" s="3">
        <f t="shared" si="13"/>
        <v>0</v>
      </c>
      <c r="M96" s="3">
        <f t="shared" si="14"/>
        <v>10500</v>
      </c>
      <c r="N96" s="3">
        <f t="shared" si="15"/>
        <v>10500</v>
      </c>
      <c r="O96" s="3">
        <f t="shared" si="16"/>
        <v>10500</v>
      </c>
      <c r="P96" s="3">
        <f t="shared" si="17"/>
        <v>10500</v>
      </c>
    </row>
    <row r="97" spans="1:16" hidden="1" x14ac:dyDescent="0.35">
      <c r="A97" t="s">
        <v>138</v>
      </c>
      <c r="B97" s="2">
        <v>45878</v>
      </c>
      <c r="C97" t="s">
        <v>27</v>
      </c>
      <c r="D97" t="s">
        <v>28</v>
      </c>
      <c r="E97" t="s">
        <v>41</v>
      </c>
      <c r="F97" t="s">
        <v>29</v>
      </c>
      <c r="G97" t="s">
        <v>47</v>
      </c>
      <c r="H97">
        <v>14</v>
      </c>
      <c r="I97" s="3">
        <v>600</v>
      </c>
      <c r="J97" s="4">
        <v>0.15</v>
      </c>
      <c r="K97" s="3">
        <f t="shared" si="12"/>
        <v>8400</v>
      </c>
      <c r="L97" s="3">
        <f t="shared" si="13"/>
        <v>1260</v>
      </c>
      <c r="M97" s="3">
        <f t="shared" si="14"/>
        <v>7140</v>
      </c>
      <c r="N97" s="3">
        <f t="shared" si="15"/>
        <v>7140</v>
      </c>
      <c r="O97" s="3">
        <f t="shared" si="16"/>
        <v>7140</v>
      </c>
      <c r="P97" s="3">
        <f t="shared" si="17"/>
        <v>7140</v>
      </c>
    </row>
    <row r="98" spans="1:16" hidden="1" x14ac:dyDescent="0.35">
      <c r="A98" t="s">
        <v>139</v>
      </c>
      <c r="B98" s="2">
        <v>45743</v>
      </c>
      <c r="C98" t="s">
        <v>36</v>
      </c>
      <c r="D98" t="s">
        <v>43</v>
      </c>
      <c r="E98" t="s">
        <v>19</v>
      </c>
      <c r="F98" t="s">
        <v>29</v>
      </c>
      <c r="G98" t="s">
        <v>73</v>
      </c>
      <c r="H98">
        <v>5</v>
      </c>
      <c r="I98" s="3">
        <v>350</v>
      </c>
      <c r="J98" s="4">
        <v>0</v>
      </c>
      <c r="K98" s="3">
        <f t="shared" ref="K98:K121" si="18">H98*I98</f>
        <v>1750</v>
      </c>
      <c r="L98" s="3">
        <f t="shared" ref="L98:L121" si="19">H98*I98*J98</f>
        <v>0</v>
      </c>
      <c r="M98" s="3">
        <f t="shared" ref="M98:M121" si="20">H98*I98*(1-J98)</f>
        <v>1750</v>
      </c>
      <c r="N98" s="3">
        <f t="shared" ref="N98:N121" si="21">ROUND(H98*I98*(1-J98),0)</f>
        <v>1750</v>
      </c>
      <c r="O98" s="3">
        <f t="shared" ref="O98:O121" si="22">ROUNDUP(H98*I98*(1-J98),0)</f>
        <v>1750</v>
      </c>
      <c r="P98" s="3">
        <f t="shared" ref="P98:P121" si="23">ROUNDDOWN(H98*I98*(1-J98),0)</f>
        <v>1750</v>
      </c>
    </row>
    <row r="99" spans="1:16" hidden="1" x14ac:dyDescent="0.35">
      <c r="A99" t="s">
        <v>140</v>
      </c>
      <c r="B99" s="2">
        <v>45809</v>
      </c>
      <c r="C99" t="s">
        <v>36</v>
      </c>
      <c r="D99" t="s">
        <v>43</v>
      </c>
      <c r="E99" t="s">
        <v>19</v>
      </c>
      <c r="F99" t="s">
        <v>29</v>
      </c>
      <c r="G99" t="s">
        <v>47</v>
      </c>
      <c r="H99">
        <v>19</v>
      </c>
      <c r="I99" s="3">
        <v>600</v>
      </c>
      <c r="J99" s="4">
        <v>0</v>
      </c>
      <c r="K99" s="3">
        <f t="shared" si="18"/>
        <v>11400</v>
      </c>
      <c r="L99" s="3">
        <f t="shared" si="19"/>
        <v>0</v>
      </c>
      <c r="M99" s="3">
        <f t="shared" si="20"/>
        <v>11400</v>
      </c>
      <c r="N99" s="3">
        <f t="shared" si="21"/>
        <v>11400</v>
      </c>
      <c r="O99" s="3">
        <f t="shared" si="22"/>
        <v>11400</v>
      </c>
      <c r="P99" s="3">
        <f t="shared" si="23"/>
        <v>11400</v>
      </c>
    </row>
    <row r="100" spans="1:16" hidden="1" x14ac:dyDescent="0.35">
      <c r="A100" t="s">
        <v>141</v>
      </c>
      <c r="B100" s="2">
        <v>45668</v>
      </c>
      <c r="C100" t="s">
        <v>27</v>
      </c>
      <c r="D100" t="s">
        <v>40</v>
      </c>
      <c r="E100" t="s">
        <v>23</v>
      </c>
      <c r="F100" t="s">
        <v>29</v>
      </c>
      <c r="G100" t="s">
        <v>47</v>
      </c>
      <c r="H100">
        <v>14</v>
      </c>
      <c r="I100" s="3">
        <v>600</v>
      </c>
      <c r="J100" s="4">
        <v>0</v>
      </c>
      <c r="K100" s="3">
        <f t="shared" si="18"/>
        <v>8400</v>
      </c>
      <c r="L100" s="3">
        <f t="shared" si="19"/>
        <v>0</v>
      </c>
      <c r="M100" s="3">
        <f t="shared" si="20"/>
        <v>8400</v>
      </c>
      <c r="N100" s="3">
        <f t="shared" si="21"/>
        <v>8400</v>
      </c>
      <c r="O100" s="3">
        <f t="shared" si="22"/>
        <v>8400</v>
      </c>
      <c r="P100" s="3">
        <f t="shared" si="23"/>
        <v>8400</v>
      </c>
    </row>
    <row r="101" spans="1:16" hidden="1" x14ac:dyDescent="0.35">
      <c r="A101" t="s">
        <v>142</v>
      </c>
      <c r="B101" s="2">
        <v>45697</v>
      </c>
      <c r="C101" t="s">
        <v>32</v>
      </c>
      <c r="D101" t="s">
        <v>33</v>
      </c>
      <c r="E101" t="s">
        <v>41</v>
      </c>
      <c r="F101" t="s">
        <v>24</v>
      </c>
      <c r="G101" t="s">
        <v>34</v>
      </c>
      <c r="H101">
        <v>3</v>
      </c>
      <c r="I101" s="3">
        <v>24000</v>
      </c>
      <c r="J101" s="4">
        <v>0</v>
      </c>
      <c r="K101" s="3">
        <f t="shared" si="18"/>
        <v>72000</v>
      </c>
      <c r="L101" s="3">
        <f t="shared" si="19"/>
        <v>0</v>
      </c>
      <c r="M101" s="3">
        <f t="shared" si="20"/>
        <v>72000</v>
      </c>
      <c r="N101" s="3">
        <f t="shared" si="21"/>
        <v>72000</v>
      </c>
      <c r="O101" s="3">
        <f t="shared" si="22"/>
        <v>72000</v>
      </c>
      <c r="P101" s="3">
        <f t="shared" si="23"/>
        <v>72000</v>
      </c>
    </row>
    <row r="102" spans="1:16" hidden="1" x14ac:dyDescent="0.35">
      <c r="A102" t="s">
        <v>143</v>
      </c>
      <c r="B102" s="2">
        <v>45992</v>
      </c>
      <c r="C102" t="s">
        <v>36</v>
      </c>
      <c r="D102" t="s">
        <v>43</v>
      </c>
      <c r="E102" t="s">
        <v>19</v>
      </c>
      <c r="F102" t="s">
        <v>29</v>
      </c>
      <c r="G102" t="s">
        <v>30</v>
      </c>
      <c r="H102">
        <v>16</v>
      </c>
      <c r="I102" s="3">
        <v>250</v>
      </c>
      <c r="J102" s="4">
        <v>0</v>
      </c>
      <c r="K102" s="3">
        <f t="shared" si="18"/>
        <v>4000</v>
      </c>
      <c r="L102" s="3">
        <f t="shared" si="19"/>
        <v>0</v>
      </c>
      <c r="M102" s="3">
        <f t="shared" si="20"/>
        <v>4000</v>
      </c>
      <c r="N102" s="3">
        <f t="shared" si="21"/>
        <v>4000</v>
      </c>
      <c r="O102" s="3">
        <f t="shared" si="22"/>
        <v>4000</v>
      </c>
      <c r="P102" s="3">
        <f t="shared" si="23"/>
        <v>4000</v>
      </c>
    </row>
    <row r="103" spans="1:16" hidden="1" x14ac:dyDescent="0.35">
      <c r="A103" t="s">
        <v>144</v>
      </c>
      <c r="B103" s="2">
        <v>45897</v>
      </c>
      <c r="C103" t="s">
        <v>27</v>
      </c>
      <c r="D103" t="s">
        <v>28</v>
      </c>
      <c r="E103" t="s">
        <v>41</v>
      </c>
      <c r="F103" t="s">
        <v>24</v>
      </c>
      <c r="G103" t="s">
        <v>34</v>
      </c>
      <c r="H103">
        <v>4</v>
      </c>
      <c r="I103" s="3">
        <v>24000</v>
      </c>
      <c r="J103" s="4">
        <v>0.05</v>
      </c>
      <c r="K103" s="3">
        <f t="shared" si="18"/>
        <v>96000</v>
      </c>
      <c r="L103" s="3">
        <f t="shared" si="19"/>
        <v>4800</v>
      </c>
      <c r="M103" s="3">
        <f t="shared" si="20"/>
        <v>91200</v>
      </c>
      <c r="N103" s="3">
        <f t="shared" si="21"/>
        <v>91200</v>
      </c>
      <c r="O103" s="3">
        <f t="shared" si="22"/>
        <v>91200</v>
      </c>
      <c r="P103" s="3">
        <f t="shared" si="23"/>
        <v>91200</v>
      </c>
    </row>
    <row r="104" spans="1:16" hidden="1" x14ac:dyDescent="0.35">
      <c r="A104" t="s">
        <v>145</v>
      </c>
      <c r="B104" s="2">
        <v>45984</v>
      </c>
      <c r="C104" t="s">
        <v>27</v>
      </c>
      <c r="D104" t="s">
        <v>40</v>
      </c>
      <c r="E104" t="s">
        <v>19</v>
      </c>
      <c r="F104" t="s">
        <v>29</v>
      </c>
      <c r="G104" t="s">
        <v>30</v>
      </c>
      <c r="H104">
        <v>24</v>
      </c>
      <c r="I104" s="3">
        <v>250</v>
      </c>
      <c r="J104" s="4">
        <v>0</v>
      </c>
      <c r="K104" s="3">
        <f t="shared" si="18"/>
        <v>6000</v>
      </c>
      <c r="L104" s="3">
        <f t="shared" si="19"/>
        <v>0</v>
      </c>
      <c r="M104" s="3">
        <f t="shared" si="20"/>
        <v>6000</v>
      </c>
      <c r="N104" s="3">
        <f t="shared" si="21"/>
        <v>6000</v>
      </c>
      <c r="O104" s="3">
        <f t="shared" si="22"/>
        <v>6000</v>
      </c>
      <c r="P104" s="3">
        <f t="shared" si="23"/>
        <v>6000</v>
      </c>
    </row>
    <row r="105" spans="1:16" x14ac:dyDescent="0.35">
      <c r="A105" t="s">
        <v>146</v>
      </c>
      <c r="B105" s="2">
        <v>45677</v>
      </c>
      <c r="C105" t="s">
        <v>17</v>
      </c>
      <c r="D105" t="s">
        <v>57</v>
      </c>
      <c r="E105" t="s">
        <v>19</v>
      </c>
      <c r="F105" t="s">
        <v>20</v>
      </c>
      <c r="G105" t="s">
        <v>50</v>
      </c>
      <c r="H105">
        <v>15</v>
      </c>
      <c r="I105" s="3">
        <v>95000</v>
      </c>
      <c r="J105" s="4">
        <v>0.1</v>
      </c>
      <c r="K105" s="3">
        <f t="shared" si="18"/>
        <v>1425000</v>
      </c>
      <c r="L105" s="3">
        <f t="shared" si="19"/>
        <v>142500</v>
      </c>
      <c r="M105" s="3">
        <f t="shared" si="20"/>
        <v>1282500</v>
      </c>
      <c r="N105" s="3">
        <f t="shared" si="21"/>
        <v>1282500</v>
      </c>
      <c r="O105" s="3">
        <f t="shared" si="22"/>
        <v>1282500</v>
      </c>
      <c r="P105" s="3">
        <f t="shared" si="23"/>
        <v>1282500</v>
      </c>
    </row>
    <row r="106" spans="1:16" x14ac:dyDescent="0.35">
      <c r="A106" t="s">
        <v>147</v>
      </c>
      <c r="B106" s="2">
        <v>45998</v>
      </c>
      <c r="C106" t="s">
        <v>17</v>
      </c>
      <c r="D106" t="s">
        <v>57</v>
      </c>
      <c r="E106" t="s">
        <v>19</v>
      </c>
      <c r="F106" t="s">
        <v>20</v>
      </c>
      <c r="G106" t="s">
        <v>38</v>
      </c>
      <c r="H106">
        <v>6</v>
      </c>
      <c r="I106" s="3">
        <v>8500</v>
      </c>
      <c r="J106" s="4">
        <v>0.15</v>
      </c>
      <c r="K106" s="3">
        <f t="shared" si="18"/>
        <v>51000</v>
      </c>
      <c r="L106" s="3">
        <f t="shared" si="19"/>
        <v>7650</v>
      </c>
      <c r="M106" s="3">
        <f t="shared" si="20"/>
        <v>43350</v>
      </c>
      <c r="N106" s="3">
        <f t="shared" si="21"/>
        <v>43350</v>
      </c>
      <c r="O106" s="3">
        <f t="shared" si="22"/>
        <v>43350</v>
      </c>
      <c r="P106" s="3">
        <f t="shared" si="23"/>
        <v>43350</v>
      </c>
    </row>
    <row r="107" spans="1:16" hidden="1" x14ac:dyDescent="0.35">
      <c r="A107" t="s">
        <v>148</v>
      </c>
      <c r="B107" s="2">
        <v>45825</v>
      </c>
      <c r="C107" t="s">
        <v>36</v>
      </c>
      <c r="D107" t="s">
        <v>37</v>
      </c>
      <c r="E107" t="s">
        <v>23</v>
      </c>
      <c r="F107" t="s">
        <v>24</v>
      </c>
      <c r="G107" t="s">
        <v>34</v>
      </c>
      <c r="H107">
        <v>15</v>
      </c>
      <c r="I107" s="3">
        <v>24000</v>
      </c>
      <c r="J107" s="4">
        <v>0</v>
      </c>
      <c r="K107" s="3">
        <f t="shared" si="18"/>
        <v>360000</v>
      </c>
      <c r="L107" s="3">
        <f t="shared" si="19"/>
        <v>0</v>
      </c>
      <c r="M107" s="3">
        <f t="shared" si="20"/>
        <v>360000</v>
      </c>
      <c r="N107" s="3">
        <f t="shared" si="21"/>
        <v>360000</v>
      </c>
      <c r="O107" s="3">
        <f t="shared" si="22"/>
        <v>360000</v>
      </c>
      <c r="P107" s="3">
        <f t="shared" si="23"/>
        <v>360000</v>
      </c>
    </row>
    <row r="108" spans="1:16" hidden="1" x14ac:dyDescent="0.35">
      <c r="A108" t="s">
        <v>149</v>
      </c>
      <c r="B108" s="2">
        <v>45892</v>
      </c>
      <c r="C108" t="s">
        <v>36</v>
      </c>
      <c r="D108" t="s">
        <v>43</v>
      </c>
      <c r="E108" t="s">
        <v>23</v>
      </c>
      <c r="F108" t="s">
        <v>29</v>
      </c>
      <c r="G108" t="s">
        <v>47</v>
      </c>
      <c r="H108">
        <v>17</v>
      </c>
      <c r="I108" s="3">
        <v>600</v>
      </c>
      <c r="J108" s="4">
        <v>0.15</v>
      </c>
      <c r="K108" s="3">
        <f t="shared" si="18"/>
        <v>10200</v>
      </c>
      <c r="L108" s="3">
        <f t="shared" si="19"/>
        <v>1530</v>
      </c>
      <c r="M108" s="3">
        <f t="shared" si="20"/>
        <v>8670</v>
      </c>
      <c r="N108" s="3">
        <f t="shared" si="21"/>
        <v>8670</v>
      </c>
      <c r="O108" s="3">
        <f t="shared" si="22"/>
        <v>8670</v>
      </c>
      <c r="P108" s="3">
        <f t="shared" si="23"/>
        <v>8670</v>
      </c>
    </row>
    <row r="109" spans="1:16" hidden="1" x14ac:dyDescent="0.35">
      <c r="A109" t="s">
        <v>150</v>
      </c>
      <c r="B109" s="2">
        <v>45993</v>
      </c>
      <c r="C109" t="s">
        <v>27</v>
      </c>
      <c r="D109" t="s">
        <v>28</v>
      </c>
      <c r="E109" t="s">
        <v>41</v>
      </c>
      <c r="F109" t="s">
        <v>29</v>
      </c>
      <c r="G109" t="s">
        <v>30</v>
      </c>
      <c r="H109">
        <v>14</v>
      </c>
      <c r="I109" s="3">
        <v>250</v>
      </c>
      <c r="J109" s="4">
        <v>0.05</v>
      </c>
      <c r="K109" s="3">
        <f t="shared" si="18"/>
        <v>3500</v>
      </c>
      <c r="L109" s="3">
        <f t="shared" si="19"/>
        <v>175</v>
      </c>
      <c r="M109" s="3">
        <f t="shared" si="20"/>
        <v>3325</v>
      </c>
      <c r="N109" s="3">
        <f t="shared" si="21"/>
        <v>3325</v>
      </c>
      <c r="O109" s="3">
        <f t="shared" si="22"/>
        <v>3325</v>
      </c>
      <c r="P109" s="3">
        <f t="shared" si="23"/>
        <v>3325</v>
      </c>
    </row>
    <row r="110" spans="1:16" hidden="1" x14ac:dyDescent="0.35">
      <c r="A110" t="s">
        <v>151</v>
      </c>
      <c r="B110" s="2">
        <v>45658</v>
      </c>
      <c r="C110" t="s">
        <v>27</v>
      </c>
      <c r="D110" t="s">
        <v>28</v>
      </c>
      <c r="E110" t="s">
        <v>19</v>
      </c>
      <c r="F110" t="s">
        <v>20</v>
      </c>
      <c r="G110" t="s">
        <v>38</v>
      </c>
      <c r="H110">
        <v>9</v>
      </c>
      <c r="I110" s="3">
        <v>8500</v>
      </c>
      <c r="J110" s="4">
        <v>0</v>
      </c>
      <c r="K110" s="3">
        <f t="shared" si="18"/>
        <v>76500</v>
      </c>
      <c r="L110" s="3">
        <f t="shared" si="19"/>
        <v>0</v>
      </c>
      <c r="M110" s="3">
        <f t="shared" si="20"/>
        <v>76500</v>
      </c>
      <c r="N110" s="3">
        <f t="shared" si="21"/>
        <v>76500</v>
      </c>
      <c r="O110" s="3">
        <f t="shared" si="22"/>
        <v>76500</v>
      </c>
      <c r="P110" s="3">
        <f t="shared" si="23"/>
        <v>76500</v>
      </c>
    </row>
    <row r="111" spans="1:16" hidden="1" x14ac:dyDescent="0.35">
      <c r="A111" t="s">
        <v>152</v>
      </c>
      <c r="B111" s="2">
        <v>45848</v>
      </c>
      <c r="C111" t="s">
        <v>27</v>
      </c>
      <c r="D111" t="s">
        <v>28</v>
      </c>
      <c r="E111" t="s">
        <v>41</v>
      </c>
      <c r="F111" t="s">
        <v>24</v>
      </c>
      <c r="G111" t="s">
        <v>25</v>
      </c>
      <c r="H111">
        <v>11</v>
      </c>
      <c r="I111" s="3">
        <v>7000</v>
      </c>
      <c r="J111" s="4">
        <v>0.15</v>
      </c>
      <c r="K111" s="3">
        <f t="shared" si="18"/>
        <v>77000</v>
      </c>
      <c r="L111" s="3">
        <f t="shared" si="19"/>
        <v>11550</v>
      </c>
      <c r="M111" s="3">
        <f t="shared" si="20"/>
        <v>65450</v>
      </c>
      <c r="N111" s="3">
        <f t="shared" si="21"/>
        <v>65450</v>
      </c>
      <c r="O111" s="3">
        <f t="shared" si="22"/>
        <v>65450</v>
      </c>
      <c r="P111" s="3">
        <f t="shared" si="23"/>
        <v>65450</v>
      </c>
    </row>
    <row r="112" spans="1:16" hidden="1" x14ac:dyDescent="0.35">
      <c r="A112" t="s">
        <v>153</v>
      </c>
      <c r="B112" s="2">
        <v>45843</v>
      </c>
      <c r="C112" t="s">
        <v>17</v>
      </c>
      <c r="D112" t="s">
        <v>18</v>
      </c>
      <c r="E112" t="s">
        <v>23</v>
      </c>
      <c r="F112" t="s">
        <v>20</v>
      </c>
      <c r="G112" t="s">
        <v>21</v>
      </c>
      <c r="H112">
        <v>9</v>
      </c>
      <c r="I112" s="3">
        <v>1500</v>
      </c>
      <c r="J112" s="4">
        <v>0.05</v>
      </c>
      <c r="K112" s="3">
        <f t="shared" si="18"/>
        <v>13500</v>
      </c>
      <c r="L112" s="3">
        <f t="shared" si="19"/>
        <v>675</v>
      </c>
      <c r="M112" s="3">
        <f t="shared" si="20"/>
        <v>12825</v>
      </c>
      <c r="N112" s="3">
        <f t="shared" si="21"/>
        <v>12825</v>
      </c>
      <c r="O112" s="3">
        <f t="shared" si="22"/>
        <v>12825</v>
      </c>
      <c r="P112" s="3">
        <f t="shared" si="23"/>
        <v>12825</v>
      </c>
    </row>
    <row r="113" spans="1:16" hidden="1" x14ac:dyDescent="0.35">
      <c r="A113" t="s">
        <v>154</v>
      </c>
      <c r="B113" s="2">
        <v>45676</v>
      </c>
      <c r="C113" t="s">
        <v>27</v>
      </c>
      <c r="D113" t="s">
        <v>40</v>
      </c>
      <c r="E113" t="s">
        <v>19</v>
      </c>
      <c r="F113" t="s">
        <v>24</v>
      </c>
      <c r="G113" t="s">
        <v>25</v>
      </c>
      <c r="H113">
        <v>16</v>
      </c>
      <c r="I113" s="3">
        <v>7000</v>
      </c>
      <c r="J113" s="4">
        <v>0.05</v>
      </c>
      <c r="K113" s="3">
        <f t="shared" si="18"/>
        <v>112000</v>
      </c>
      <c r="L113" s="3">
        <f t="shared" si="19"/>
        <v>5600</v>
      </c>
      <c r="M113" s="3">
        <f t="shared" si="20"/>
        <v>106400</v>
      </c>
      <c r="N113" s="3">
        <f t="shared" si="21"/>
        <v>106400</v>
      </c>
      <c r="O113" s="3">
        <f t="shared" si="22"/>
        <v>106400</v>
      </c>
      <c r="P113" s="3">
        <f t="shared" si="23"/>
        <v>106400</v>
      </c>
    </row>
    <row r="114" spans="1:16" hidden="1" x14ac:dyDescent="0.35">
      <c r="A114" t="s">
        <v>155</v>
      </c>
      <c r="B114" s="2">
        <v>45710</v>
      </c>
      <c r="C114" t="s">
        <v>36</v>
      </c>
      <c r="D114" t="s">
        <v>43</v>
      </c>
      <c r="E114" t="s">
        <v>23</v>
      </c>
      <c r="F114" t="s">
        <v>20</v>
      </c>
      <c r="G114" t="s">
        <v>21</v>
      </c>
      <c r="H114">
        <v>22</v>
      </c>
      <c r="I114" s="3">
        <v>1500</v>
      </c>
      <c r="J114" s="4">
        <v>0</v>
      </c>
      <c r="K114" s="3">
        <f t="shared" si="18"/>
        <v>33000</v>
      </c>
      <c r="L114" s="3">
        <f t="shared" si="19"/>
        <v>0</v>
      </c>
      <c r="M114" s="3">
        <f t="shared" si="20"/>
        <v>33000</v>
      </c>
      <c r="N114" s="3">
        <f t="shared" si="21"/>
        <v>33000</v>
      </c>
      <c r="O114" s="3">
        <f t="shared" si="22"/>
        <v>33000</v>
      </c>
      <c r="P114" s="3">
        <f t="shared" si="23"/>
        <v>33000</v>
      </c>
    </row>
    <row r="115" spans="1:16" hidden="1" x14ac:dyDescent="0.35">
      <c r="A115" t="s">
        <v>156</v>
      </c>
      <c r="B115" s="2">
        <v>45934</v>
      </c>
      <c r="C115" t="s">
        <v>36</v>
      </c>
      <c r="D115" t="s">
        <v>43</v>
      </c>
      <c r="E115" t="s">
        <v>19</v>
      </c>
      <c r="F115" t="s">
        <v>24</v>
      </c>
      <c r="G115" t="s">
        <v>34</v>
      </c>
      <c r="H115">
        <v>7</v>
      </c>
      <c r="I115" s="3">
        <v>24000</v>
      </c>
      <c r="J115" s="4">
        <v>0</v>
      </c>
      <c r="K115" s="3">
        <f t="shared" si="18"/>
        <v>168000</v>
      </c>
      <c r="L115" s="3">
        <f t="shared" si="19"/>
        <v>0</v>
      </c>
      <c r="M115" s="3">
        <f t="shared" si="20"/>
        <v>168000</v>
      </c>
      <c r="N115" s="3">
        <f t="shared" si="21"/>
        <v>168000</v>
      </c>
      <c r="O115" s="3">
        <f t="shared" si="22"/>
        <v>168000</v>
      </c>
      <c r="P115" s="3">
        <f t="shared" si="23"/>
        <v>168000</v>
      </c>
    </row>
    <row r="116" spans="1:16" x14ac:dyDescent="0.35">
      <c r="A116" t="s">
        <v>157</v>
      </c>
      <c r="B116" s="2">
        <v>45949</v>
      </c>
      <c r="C116" t="s">
        <v>17</v>
      </c>
      <c r="D116" t="s">
        <v>57</v>
      </c>
      <c r="E116" t="s">
        <v>23</v>
      </c>
      <c r="F116" t="s">
        <v>24</v>
      </c>
      <c r="G116" t="s">
        <v>25</v>
      </c>
      <c r="H116">
        <v>4</v>
      </c>
      <c r="I116" s="3">
        <v>7000</v>
      </c>
      <c r="J116" s="4">
        <v>0</v>
      </c>
      <c r="K116" s="3">
        <f t="shared" si="18"/>
        <v>28000</v>
      </c>
      <c r="L116" s="3">
        <f t="shared" si="19"/>
        <v>0</v>
      </c>
      <c r="M116" s="3">
        <f t="shared" si="20"/>
        <v>28000</v>
      </c>
      <c r="N116" s="3">
        <f t="shared" si="21"/>
        <v>28000</v>
      </c>
      <c r="O116" s="3">
        <f t="shared" si="22"/>
        <v>28000</v>
      </c>
      <c r="P116" s="3">
        <f t="shared" si="23"/>
        <v>28000</v>
      </c>
    </row>
    <row r="117" spans="1:16" hidden="1" x14ac:dyDescent="0.35">
      <c r="A117" t="s">
        <v>158</v>
      </c>
      <c r="B117" s="2">
        <v>45991</v>
      </c>
      <c r="C117" t="s">
        <v>27</v>
      </c>
      <c r="D117" t="s">
        <v>28</v>
      </c>
      <c r="E117" t="s">
        <v>19</v>
      </c>
      <c r="F117" t="s">
        <v>24</v>
      </c>
      <c r="G117" t="s">
        <v>25</v>
      </c>
      <c r="H117">
        <v>16</v>
      </c>
      <c r="I117" s="3">
        <v>7000</v>
      </c>
      <c r="J117" s="4">
        <v>0.15</v>
      </c>
      <c r="K117" s="3">
        <f t="shared" si="18"/>
        <v>112000</v>
      </c>
      <c r="L117" s="3">
        <f t="shared" si="19"/>
        <v>16800</v>
      </c>
      <c r="M117" s="3">
        <f t="shared" si="20"/>
        <v>95200</v>
      </c>
      <c r="N117" s="3">
        <f t="shared" si="21"/>
        <v>95200</v>
      </c>
      <c r="O117" s="3">
        <f t="shared" si="22"/>
        <v>95200</v>
      </c>
      <c r="P117" s="3">
        <f t="shared" si="23"/>
        <v>95200</v>
      </c>
    </row>
    <row r="118" spans="1:16" hidden="1" x14ac:dyDescent="0.35">
      <c r="A118" t="s">
        <v>159</v>
      </c>
      <c r="B118" s="2">
        <v>45961</v>
      </c>
      <c r="C118" t="s">
        <v>17</v>
      </c>
      <c r="D118" t="s">
        <v>18</v>
      </c>
      <c r="E118" t="s">
        <v>23</v>
      </c>
      <c r="F118" t="s">
        <v>24</v>
      </c>
      <c r="G118" t="s">
        <v>25</v>
      </c>
      <c r="H118">
        <v>6</v>
      </c>
      <c r="I118" s="3">
        <v>7000</v>
      </c>
      <c r="J118" s="4">
        <v>0</v>
      </c>
      <c r="K118" s="3">
        <f t="shared" si="18"/>
        <v>42000</v>
      </c>
      <c r="L118" s="3">
        <f t="shared" si="19"/>
        <v>0</v>
      </c>
      <c r="M118" s="3">
        <f t="shared" si="20"/>
        <v>42000</v>
      </c>
      <c r="N118" s="3">
        <f t="shared" si="21"/>
        <v>42000</v>
      </c>
      <c r="O118" s="3">
        <f t="shared" si="22"/>
        <v>42000</v>
      </c>
      <c r="P118" s="3">
        <f t="shared" si="23"/>
        <v>42000</v>
      </c>
    </row>
    <row r="119" spans="1:16" x14ac:dyDescent="0.35">
      <c r="A119" t="s">
        <v>160</v>
      </c>
      <c r="B119" s="2">
        <v>45957</v>
      </c>
      <c r="C119" t="s">
        <v>17</v>
      </c>
      <c r="D119" t="s">
        <v>57</v>
      </c>
      <c r="E119" t="s">
        <v>41</v>
      </c>
      <c r="F119" t="s">
        <v>20</v>
      </c>
      <c r="G119" t="s">
        <v>38</v>
      </c>
      <c r="H119">
        <v>12</v>
      </c>
      <c r="I119" s="3">
        <v>8500</v>
      </c>
      <c r="J119" s="4">
        <v>0</v>
      </c>
      <c r="K119" s="3">
        <f t="shared" si="18"/>
        <v>102000</v>
      </c>
      <c r="L119" s="3">
        <f t="shared" si="19"/>
        <v>0</v>
      </c>
      <c r="M119" s="3">
        <f t="shared" si="20"/>
        <v>102000</v>
      </c>
      <c r="N119" s="3">
        <f t="shared" si="21"/>
        <v>102000</v>
      </c>
      <c r="O119" s="3">
        <f t="shared" si="22"/>
        <v>102000</v>
      </c>
      <c r="P119" s="3">
        <f t="shared" si="23"/>
        <v>102000</v>
      </c>
    </row>
    <row r="120" spans="1:16" x14ac:dyDescent="0.35">
      <c r="A120" t="s">
        <v>161</v>
      </c>
      <c r="B120" s="2">
        <v>45951</v>
      </c>
      <c r="C120" t="s">
        <v>17</v>
      </c>
      <c r="D120" t="s">
        <v>57</v>
      </c>
      <c r="E120" t="s">
        <v>23</v>
      </c>
      <c r="F120" t="s">
        <v>24</v>
      </c>
      <c r="G120" t="s">
        <v>34</v>
      </c>
      <c r="H120">
        <v>11</v>
      </c>
      <c r="I120" s="3">
        <v>24000</v>
      </c>
      <c r="J120" s="4">
        <v>0</v>
      </c>
      <c r="K120" s="3">
        <f t="shared" si="18"/>
        <v>264000</v>
      </c>
      <c r="L120" s="3">
        <f t="shared" si="19"/>
        <v>0</v>
      </c>
      <c r="M120" s="3">
        <f t="shared" si="20"/>
        <v>264000</v>
      </c>
      <c r="N120" s="3">
        <f t="shared" si="21"/>
        <v>264000</v>
      </c>
      <c r="O120" s="3">
        <f t="shared" si="22"/>
        <v>264000</v>
      </c>
      <c r="P120" s="3">
        <f t="shared" si="23"/>
        <v>264000</v>
      </c>
    </row>
    <row r="121" spans="1:16" hidden="1" x14ac:dyDescent="0.35">
      <c r="A121" t="s">
        <v>162</v>
      </c>
      <c r="B121" s="2">
        <v>45878</v>
      </c>
      <c r="C121" t="s">
        <v>32</v>
      </c>
      <c r="D121" t="s">
        <v>45</v>
      </c>
      <c r="E121" t="s">
        <v>23</v>
      </c>
      <c r="F121" t="s">
        <v>29</v>
      </c>
      <c r="G121" t="s">
        <v>30</v>
      </c>
      <c r="H121">
        <v>2</v>
      </c>
      <c r="I121" s="3">
        <v>250</v>
      </c>
      <c r="J121" s="4">
        <v>0</v>
      </c>
      <c r="K121" s="3">
        <f t="shared" si="18"/>
        <v>500</v>
      </c>
      <c r="L121" s="3">
        <f t="shared" si="19"/>
        <v>0</v>
      </c>
      <c r="M121" s="3">
        <f t="shared" si="20"/>
        <v>500</v>
      </c>
      <c r="N121" s="3">
        <f t="shared" si="21"/>
        <v>500</v>
      </c>
      <c r="O121" s="3">
        <f t="shared" si="22"/>
        <v>500</v>
      </c>
      <c r="P121" s="3">
        <f t="shared" si="23"/>
        <v>500</v>
      </c>
    </row>
  </sheetData>
  <autoFilter ref="A1:P121" xr:uid="{00000000-0009-0000-0000-000000000000}">
    <filterColumn colId="3">
      <filters>
        <filter val="Aarav Mehta"/>
      </filters>
    </filterColumn>
  </autoFilter>
  <dataValidations count="3">
    <dataValidation type="whole" sqref="H2:H121" xr:uid="{00000000-0002-0000-0000-000000000000}">
      <formula1>1</formula1>
      <formula2>25</formula2>
    </dataValidation>
    <dataValidation type="list" sqref="E2:E121" xr:uid="{00000000-0002-0000-0000-000001000000}">
      <formula1>"Online,Retail Store,Partner"</formula1>
    </dataValidation>
    <dataValidation type="list" sqref="J2:J121" xr:uid="{00000000-0002-0000-0000-000002000000}">
      <formula1>"0,0.05,0.1,0.15"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3AF8C-DFD5-4EC9-8946-A2FE443D02B6}">
  <dimension ref="A1:L52"/>
  <sheetViews>
    <sheetView tabSelected="1" workbookViewId="0">
      <selection activeCell="P9" sqref="P9"/>
    </sheetView>
  </sheetViews>
  <sheetFormatPr defaultRowHeight="14.5" x14ac:dyDescent="0.35"/>
  <cols>
    <col min="1" max="1" width="17.08984375" customWidth="1"/>
    <col min="2" max="2" width="17.453125" bestFit="1" customWidth="1"/>
    <col min="3" max="3" width="11.453125" bestFit="1" customWidth="1"/>
    <col min="4" max="4" width="14.6328125" bestFit="1" customWidth="1"/>
    <col min="5" max="5" width="15.36328125" bestFit="1" customWidth="1"/>
    <col min="6" max="6" width="8.90625" bestFit="1" customWidth="1"/>
    <col min="7" max="7" width="14.6328125" bestFit="1" customWidth="1"/>
    <col min="8" max="8" width="19.1796875" bestFit="1" customWidth="1"/>
    <col min="9" max="9" width="15.36328125" bestFit="1" customWidth="1"/>
    <col min="10" max="10" width="14.6328125" bestFit="1" customWidth="1"/>
    <col min="11" max="11" width="18.81640625" bestFit="1" customWidth="1"/>
    <col min="12" max="12" width="11.453125" bestFit="1" customWidth="1"/>
  </cols>
  <sheetData>
    <row r="1" spans="1:12" x14ac:dyDescent="0.35">
      <c r="A1" t="s">
        <v>355</v>
      </c>
      <c r="D1" t="s">
        <v>356</v>
      </c>
      <c r="G1" t="s">
        <v>357</v>
      </c>
      <c r="K1" t="s">
        <v>358</v>
      </c>
    </row>
    <row r="3" spans="1:12" x14ac:dyDescent="0.35">
      <c r="A3" s="12" t="s">
        <v>366</v>
      </c>
      <c r="B3" t="s">
        <v>365</v>
      </c>
      <c r="D3" s="12" t="s">
        <v>366</v>
      </c>
      <c r="E3" t="s">
        <v>367</v>
      </c>
      <c r="G3" s="12" t="s">
        <v>366</v>
      </c>
      <c r="H3" t="s">
        <v>368</v>
      </c>
      <c r="I3" t="s">
        <v>367</v>
      </c>
      <c r="K3" s="12" t="s">
        <v>366</v>
      </c>
      <c r="L3" t="s">
        <v>369</v>
      </c>
    </row>
    <row r="4" spans="1:12" x14ac:dyDescent="0.35">
      <c r="A4" s="13" t="s">
        <v>36</v>
      </c>
      <c r="B4" s="3">
        <v>5853755</v>
      </c>
      <c r="D4" s="13" t="s">
        <v>57</v>
      </c>
      <c r="E4" s="15">
        <v>15</v>
      </c>
      <c r="G4" s="13" t="s">
        <v>57</v>
      </c>
      <c r="H4" s="3">
        <v>2906200</v>
      </c>
      <c r="I4" s="15">
        <v>15</v>
      </c>
      <c r="K4" s="13" t="s">
        <v>38</v>
      </c>
      <c r="L4" s="15">
        <v>238</v>
      </c>
    </row>
    <row r="5" spans="1:12" x14ac:dyDescent="0.35">
      <c r="A5" s="13" t="s">
        <v>17</v>
      </c>
      <c r="B5" s="3">
        <v>5300280</v>
      </c>
      <c r="D5" s="13" t="s">
        <v>28</v>
      </c>
      <c r="E5" s="15">
        <v>20</v>
      </c>
      <c r="G5" s="13" t="s">
        <v>28</v>
      </c>
      <c r="H5" s="3">
        <v>1573750</v>
      </c>
      <c r="I5" s="15">
        <v>20</v>
      </c>
      <c r="K5" s="13" t="s">
        <v>25</v>
      </c>
      <c r="L5" s="15">
        <v>216</v>
      </c>
    </row>
    <row r="6" spans="1:12" x14ac:dyDescent="0.35">
      <c r="A6" s="13" t="s">
        <v>32</v>
      </c>
      <c r="B6" s="3">
        <v>3712480</v>
      </c>
      <c r="D6" s="13" t="s">
        <v>37</v>
      </c>
      <c r="E6" s="15">
        <v>12</v>
      </c>
      <c r="G6" s="13" t="s">
        <v>37</v>
      </c>
      <c r="H6" s="3">
        <v>4211650</v>
      </c>
      <c r="I6" s="15">
        <v>12</v>
      </c>
      <c r="K6" s="13" t="s">
        <v>47</v>
      </c>
      <c r="L6" s="15">
        <v>205</v>
      </c>
    </row>
    <row r="7" spans="1:12" x14ac:dyDescent="0.35">
      <c r="A7" s="13" t="s">
        <v>27</v>
      </c>
      <c r="B7" s="3">
        <v>3878720</v>
      </c>
      <c r="D7" s="13" t="s">
        <v>43</v>
      </c>
      <c r="E7" s="15">
        <v>16</v>
      </c>
      <c r="G7" s="13" t="s">
        <v>43</v>
      </c>
      <c r="H7" s="3">
        <v>1734800</v>
      </c>
      <c r="I7" s="15">
        <v>16</v>
      </c>
      <c r="K7" s="13" t="s">
        <v>21</v>
      </c>
      <c r="L7" s="15">
        <v>201</v>
      </c>
    </row>
    <row r="8" spans="1:12" x14ac:dyDescent="0.35">
      <c r="A8" s="13" t="s">
        <v>353</v>
      </c>
      <c r="B8" s="3">
        <v>18745235</v>
      </c>
      <c r="D8" s="13" t="s">
        <v>18</v>
      </c>
      <c r="E8" s="15">
        <v>13</v>
      </c>
      <c r="G8" s="13" t="s">
        <v>18</v>
      </c>
      <c r="H8" s="3">
        <v>2419500</v>
      </c>
      <c r="I8" s="15">
        <v>13</v>
      </c>
      <c r="K8" s="13" t="s">
        <v>58</v>
      </c>
      <c r="L8" s="15">
        <v>159</v>
      </c>
    </row>
    <row r="9" spans="1:12" x14ac:dyDescent="0.35">
      <c r="D9" s="13" t="s">
        <v>33</v>
      </c>
      <c r="E9" s="15">
        <v>13</v>
      </c>
      <c r="G9" s="13" t="s">
        <v>33</v>
      </c>
      <c r="H9" s="3">
        <v>919750</v>
      </c>
      <c r="I9" s="15">
        <v>13</v>
      </c>
      <c r="K9" s="13" t="s">
        <v>30</v>
      </c>
      <c r="L9" s="15">
        <v>151</v>
      </c>
    </row>
    <row r="10" spans="1:12" x14ac:dyDescent="0.35">
      <c r="D10" s="13" t="s">
        <v>45</v>
      </c>
      <c r="E10" s="15">
        <v>14</v>
      </c>
      <c r="G10" s="13" t="s">
        <v>45</v>
      </c>
      <c r="H10" s="3">
        <v>3096000</v>
      </c>
      <c r="I10" s="15">
        <v>14</v>
      </c>
      <c r="K10" s="13" t="s">
        <v>34</v>
      </c>
      <c r="L10" s="15">
        <v>145</v>
      </c>
    </row>
    <row r="11" spans="1:12" x14ac:dyDescent="0.35">
      <c r="D11" s="13" t="s">
        <v>40</v>
      </c>
      <c r="E11" s="15">
        <v>16</v>
      </c>
      <c r="G11" s="13" t="s">
        <v>40</v>
      </c>
      <c r="H11" s="3">
        <v>2560300</v>
      </c>
      <c r="I11" s="15">
        <v>16</v>
      </c>
      <c r="K11" s="13" t="s">
        <v>50</v>
      </c>
      <c r="L11" s="15">
        <v>108</v>
      </c>
    </row>
    <row r="12" spans="1:12" x14ac:dyDescent="0.35">
      <c r="D12" s="13" t="s">
        <v>371</v>
      </c>
      <c r="E12" s="15">
        <v>1</v>
      </c>
      <c r="G12" s="13" t="s">
        <v>371</v>
      </c>
      <c r="H12" s="3">
        <v>252000</v>
      </c>
      <c r="I12" s="15">
        <v>1</v>
      </c>
      <c r="K12" s="13" t="s">
        <v>73</v>
      </c>
      <c r="L12" s="15">
        <v>82</v>
      </c>
    </row>
    <row r="13" spans="1:12" x14ac:dyDescent="0.35">
      <c r="D13" s="13" t="s">
        <v>353</v>
      </c>
      <c r="E13" s="15">
        <v>120</v>
      </c>
      <c r="G13" s="13" t="s">
        <v>353</v>
      </c>
      <c r="H13" s="3">
        <v>19673950</v>
      </c>
      <c r="I13" s="15">
        <v>120</v>
      </c>
      <c r="K13" s="13" t="s">
        <v>353</v>
      </c>
      <c r="L13" s="15">
        <v>1505</v>
      </c>
    </row>
    <row r="14" spans="1:12" x14ac:dyDescent="0.35">
      <c r="D14" s="13"/>
      <c r="E14" s="15"/>
      <c r="G14" s="13"/>
      <c r="H14" s="3"/>
      <c r="I14" s="15"/>
      <c r="K14" s="13"/>
      <c r="L14" s="15"/>
    </row>
    <row r="15" spans="1:12" x14ac:dyDescent="0.35">
      <c r="A15" t="s">
        <v>359</v>
      </c>
      <c r="D15" t="s">
        <v>360</v>
      </c>
      <c r="G15" t="s">
        <v>361</v>
      </c>
    </row>
    <row r="16" spans="1:12" x14ac:dyDescent="0.35">
      <c r="A16" s="12" t="s">
        <v>366</v>
      </c>
      <c r="B16" t="s">
        <v>365</v>
      </c>
      <c r="D16" s="12" t="s">
        <v>366</v>
      </c>
      <c r="E16" t="s">
        <v>365</v>
      </c>
      <c r="G16" s="12" t="s">
        <v>366</v>
      </c>
      <c r="H16" t="s">
        <v>367</v>
      </c>
      <c r="J16" t="s">
        <v>362</v>
      </c>
    </row>
    <row r="17" spans="1:12" x14ac:dyDescent="0.35">
      <c r="A17" s="13" t="s">
        <v>73</v>
      </c>
      <c r="B17" s="3">
        <v>26985</v>
      </c>
      <c r="D17" s="13" t="s">
        <v>57</v>
      </c>
      <c r="E17" s="3">
        <v>2754455</v>
      </c>
      <c r="G17" s="13" t="s">
        <v>36</v>
      </c>
      <c r="H17" s="15">
        <v>28</v>
      </c>
      <c r="J17" s="12" t="s">
        <v>366</v>
      </c>
      <c r="K17" t="s">
        <v>370</v>
      </c>
    </row>
    <row r="18" spans="1:12" x14ac:dyDescent="0.35">
      <c r="A18" s="14" t="s">
        <v>29</v>
      </c>
      <c r="B18" s="3">
        <v>26985</v>
      </c>
      <c r="D18" s="14" t="s">
        <v>17</v>
      </c>
      <c r="E18" s="3">
        <v>2754455</v>
      </c>
      <c r="G18" s="14" t="s">
        <v>19</v>
      </c>
      <c r="H18" s="15">
        <v>12</v>
      </c>
      <c r="J18" s="13" t="s">
        <v>57</v>
      </c>
      <c r="K18" s="3">
        <v>183630.33333333334</v>
      </c>
    </row>
    <row r="19" spans="1:12" x14ac:dyDescent="0.35">
      <c r="A19" s="13" t="s">
        <v>25</v>
      </c>
      <c r="B19" s="3">
        <v>1429400</v>
      </c>
      <c r="D19" s="13" t="s">
        <v>28</v>
      </c>
      <c r="E19" s="3">
        <v>1521260</v>
      </c>
      <c r="G19" s="14" t="s">
        <v>41</v>
      </c>
      <c r="H19" s="15">
        <v>6</v>
      </c>
      <c r="J19" s="13" t="s">
        <v>28</v>
      </c>
      <c r="K19" s="3">
        <v>76063</v>
      </c>
    </row>
    <row r="20" spans="1:12" x14ac:dyDescent="0.35">
      <c r="A20" s="14" t="s">
        <v>24</v>
      </c>
      <c r="B20" s="3">
        <v>1429400</v>
      </c>
      <c r="D20" s="14" t="s">
        <v>27</v>
      </c>
      <c r="E20" s="3">
        <v>1521260</v>
      </c>
      <c r="G20" s="14" t="s">
        <v>23</v>
      </c>
      <c r="H20" s="15">
        <v>10</v>
      </c>
      <c r="J20" s="13" t="s">
        <v>37</v>
      </c>
      <c r="K20" s="3">
        <v>348175.41666666669</v>
      </c>
    </row>
    <row r="21" spans="1:12" x14ac:dyDescent="0.35">
      <c r="A21" s="13" t="s">
        <v>30</v>
      </c>
      <c r="B21" s="3">
        <v>37525</v>
      </c>
      <c r="D21" s="13" t="s">
        <v>37</v>
      </c>
      <c r="E21" s="3">
        <v>4178105</v>
      </c>
      <c r="G21" s="13" t="s">
        <v>17</v>
      </c>
      <c r="H21" s="15">
        <v>29</v>
      </c>
      <c r="J21" s="13" t="s">
        <v>43</v>
      </c>
      <c r="K21" s="3">
        <v>104728.125</v>
      </c>
    </row>
    <row r="22" spans="1:12" x14ac:dyDescent="0.35">
      <c r="A22" s="14" t="s">
        <v>29</v>
      </c>
      <c r="B22" s="3">
        <v>37525</v>
      </c>
      <c r="D22" s="14" t="s">
        <v>36</v>
      </c>
      <c r="E22" s="3">
        <v>4178105</v>
      </c>
      <c r="G22" s="14" t="s">
        <v>19</v>
      </c>
      <c r="H22" s="15">
        <v>12</v>
      </c>
      <c r="J22" s="13" t="s">
        <v>18</v>
      </c>
      <c r="K22" s="3">
        <v>176448.07692307694</v>
      </c>
    </row>
    <row r="23" spans="1:12" x14ac:dyDescent="0.35">
      <c r="A23" s="13" t="s">
        <v>50</v>
      </c>
      <c r="B23" s="3">
        <v>9685250</v>
      </c>
      <c r="D23" s="13" t="s">
        <v>43</v>
      </c>
      <c r="E23" s="3">
        <v>1675650</v>
      </c>
      <c r="G23" s="14" t="s">
        <v>41</v>
      </c>
      <c r="H23" s="15">
        <v>8</v>
      </c>
      <c r="J23" s="13" t="s">
        <v>33</v>
      </c>
      <c r="K23" s="3">
        <v>68404.230769230766</v>
      </c>
    </row>
    <row r="24" spans="1:12" x14ac:dyDescent="0.35">
      <c r="A24" s="14" t="s">
        <v>20</v>
      </c>
      <c r="B24" s="3">
        <v>9685250</v>
      </c>
      <c r="D24" s="14" t="s">
        <v>36</v>
      </c>
      <c r="E24" s="3">
        <v>1675650</v>
      </c>
      <c r="G24" s="14" t="s">
        <v>23</v>
      </c>
      <c r="H24" s="15">
        <v>9</v>
      </c>
      <c r="J24" s="13" t="s">
        <v>45</v>
      </c>
      <c r="K24" s="3">
        <v>201658.92857142858</v>
      </c>
    </row>
    <row r="25" spans="1:12" x14ac:dyDescent="0.35">
      <c r="A25" s="13" t="s">
        <v>38</v>
      </c>
      <c r="B25" s="3">
        <v>1938000</v>
      </c>
      <c r="D25" s="13" t="s">
        <v>18</v>
      </c>
      <c r="E25" s="3">
        <v>2293825</v>
      </c>
      <c r="G25" s="13" t="s">
        <v>32</v>
      </c>
      <c r="H25" s="15">
        <v>27</v>
      </c>
      <c r="J25" s="13" t="s">
        <v>40</v>
      </c>
      <c r="K25" s="3">
        <v>147341.25</v>
      </c>
    </row>
    <row r="26" spans="1:12" x14ac:dyDescent="0.35">
      <c r="A26" s="14" t="s">
        <v>20</v>
      </c>
      <c r="B26" s="3">
        <v>1938000</v>
      </c>
      <c r="D26" s="14" t="s">
        <v>17</v>
      </c>
      <c r="E26" s="3">
        <v>2293825</v>
      </c>
      <c r="G26" s="14" t="s">
        <v>19</v>
      </c>
      <c r="H26" s="15">
        <v>7</v>
      </c>
      <c r="J26" s="13" t="s">
        <v>371</v>
      </c>
      <c r="K26" s="3">
        <v>252000</v>
      </c>
    </row>
    <row r="27" spans="1:12" x14ac:dyDescent="0.35">
      <c r="A27" s="13" t="s">
        <v>47</v>
      </c>
      <c r="B27" s="3">
        <v>115350</v>
      </c>
      <c r="D27" s="13" t="s">
        <v>33</v>
      </c>
      <c r="E27" s="3">
        <v>889255</v>
      </c>
      <c r="G27" s="14" t="s">
        <v>41</v>
      </c>
      <c r="H27" s="15">
        <v>8</v>
      </c>
      <c r="J27" s="13" t="s">
        <v>353</v>
      </c>
      <c r="K27" s="3">
        <v>156210.29166666666</v>
      </c>
    </row>
    <row r="28" spans="1:12" x14ac:dyDescent="0.35">
      <c r="A28" s="14" t="s">
        <v>29</v>
      </c>
      <c r="B28" s="3">
        <v>115350</v>
      </c>
      <c r="D28" s="14" t="s">
        <v>32</v>
      </c>
      <c r="E28" s="3">
        <v>889255</v>
      </c>
      <c r="G28" s="14" t="s">
        <v>23</v>
      </c>
      <c r="H28" s="15">
        <v>12</v>
      </c>
    </row>
    <row r="29" spans="1:12" x14ac:dyDescent="0.35">
      <c r="A29" s="13" t="s">
        <v>58</v>
      </c>
      <c r="B29" s="3">
        <v>1861200</v>
      </c>
      <c r="D29" s="13" t="s">
        <v>45</v>
      </c>
      <c r="E29" s="3">
        <v>2823225</v>
      </c>
      <c r="G29" s="13" t="s">
        <v>27</v>
      </c>
      <c r="H29" s="15">
        <v>36</v>
      </c>
      <c r="J29" t="s">
        <v>363</v>
      </c>
    </row>
    <row r="30" spans="1:12" x14ac:dyDescent="0.35">
      <c r="A30" s="14" t="s">
        <v>24</v>
      </c>
      <c r="B30" s="3">
        <v>1861200</v>
      </c>
      <c r="D30" s="14" t="s">
        <v>32</v>
      </c>
      <c r="E30" s="3">
        <v>2823225</v>
      </c>
      <c r="G30" s="14" t="s">
        <v>19</v>
      </c>
      <c r="H30" s="15">
        <v>14</v>
      </c>
    </row>
    <row r="31" spans="1:12" x14ac:dyDescent="0.35">
      <c r="A31" s="13" t="s">
        <v>34</v>
      </c>
      <c r="B31" s="3">
        <v>3362400</v>
      </c>
      <c r="D31" s="13" t="s">
        <v>40</v>
      </c>
      <c r="E31" s="3">
        <v>2357460</v>
      </c>
      <c r="G31" s="14" t="s">
        <v>41</v>
      </c>
      <c r="H31" s="15">
        <v>11</v>
      </c>
      <c r="J31" s="12" t="s">
        <v>366</v>
      </c>
      <c r="K31" t="s">
        <v>369</v>
      </c>
      <c r="L31" t="s">
        <v>365</v>
      </c>
    </row>
    <row r="32" spans="1:12" x14ac:dyDescent="0.35">
      <c r="A32" s="14" t="s">
        <v>24</v>
      </c>
      <c r="B32" s="3">
        <v>3362400</v>
      </c>
      <c r="D32" s="14" t="s">
        <v>27</v>
      </c>
      <c r="E32" s="3">
        <v>2357460</v>
      </c>
      <c r="G32" s="14" t="s">
        <v>23</v>
      </c>
      <c r="H32" s="15">
        <v>11</v>
      </c>
      <c r="J32" s="13" t="s">
        <v>73</v>
      </c>
      <c r="K32" s="15">
        <v>82</v>
      </c>
      <c r="L32" s="3">
        <v>26985</v>
      </c>
    </row>
    <row r="33" spans="1:12" x14ac:dyDescent="0.35">
      <c r="A33" s="13" t="s">
        <v>21</v>
      </c>
      <c r="B33" s="3">
        <v>289125</v>
      </c>
      <c r="D33" s="13" t="s">
        <v>371</v>
      </c>
      <c r="E33" s="3">
        <v>252000</v>
      </c>
      <c r="G33" s="13" t="s">
        <v>353</v>
      </c>
      <c r="H33" s="15">
        <v>120</v>
      </c>
      <c r="J33" s="13" t="s">
        <v>25</v>
      </c>
      <c r="K33" s="15">
        <v>216</v>
      </c>
      <c r="L33" s="3">
        <v>1429400</v>
      </c>
    </row>
    <row r="34" spans="1:12" x14ac:dyDescent="0.35">
      <c r="A34" s="14" t="s">
        <v>20</v>
      </c>
      <c r="B34" s="3">
        <v>289125</v>
      </c>
      <c r="D34" s="14" t="s">
        <v>17</v>
      </c>
      <c r="E34" s="3">
        <v>252000</v>
      </c>
      <c r="J34" s="13" t="s">
        <v>30</v>
      </c>
      <c r="K34" s="15">
        <v>151</v>
      </c>
      <c r="L34" s="3">
        <v>37525</v>
      </c>
    </row>
    <row r="35" spans="1:12" x14ac:dyDescent="0.35">
      <c r="A35" s="13" t="s">
        <v>353</v>
      </c>
      <c r="B35" s="3">
        <v>18745235</v>
      </c>
      <c r="D35" s="13" t="s">
        <v>353</v>
      </c>
      <c r="E35" s="3">
        <v>18745235</v>
      </c>
      <c r="J35" s="13" t="s">
        <v>50</v>
      </c>
      <c r="K35" s="15">
        <v>108</v>
      </c>
      <c r="L35" s="3">
        <v>9685250</v>
      </c>
    </row>
    <row r="36" spans="1:12" x14ac:dyDescent="0.35">
      <c r="J36" s="13" t="s">
        <v>38</v>
      </c>
      <c r="K36" s="15">
        <v>238</v>
      </c>
      <c r="L36" s="3">
        <v>1938000</v>
      </c>
    </row>
    <row r="37" spans="1:12" x14ac:dyDescent="0.35">
      <c r="J37" s="13" t="s">
        <v>47</v>
      </c>
      <c r="K37" s="15">
        <v>205</v>
      </c>
      <c r="L37" s="3">
        <v>115350</v>
      </c>
    </row>
    <row r="38" spans="1:12" x14ac:dyDescent="0.35">
      <c r="J38" s="13" t="s">
        <v>58</v>
      </c>
      <c r="K38" s="15">
        <v>159</v>
      </c>
      <c r="L38" s="3">
        <v>1861200</v>
      </c>
    </row>
    <row r="39" spans="1:12" x14ac:dyDescent="0.35">
      <c r="J39" s="13" t="s">
        <v>34</v>
      </c>
      <c r="K39" s="15">
        <v>145</v>
      </c>
      <c r="L39" s="3">
        <v>3362400</v>
      </c>
    </row>
    <row r="40" spans="1:12" x14ac:dyDescent="0.35">
      <c r="A40" t="s">
        <v>364</v>
      </c>
      <c r="J40" s="13" t="s">
        <v>21</v>
      </c>
      <c r="K40" s="15">
        <v>201</v>
      </c>
      <c r="L40" s="3">
        <v>289125</v>
      </c>
    </row>
    <row r="41" spans="1:12" x14ac:dyDescent="0.35">
      <c r="J41" s="13" t="s">
        <v>353</v>
      </c>
      <c r="K41" s="15">
        <v>1505</v>
      </c>
      <c r="L41" s="3">
        <v>18745235</v>
      </c>
    </row>
    <row r="42" spans="1:12" x14ac:dyDescent="0.35">
      <c r="A42" s="12" t="s">
        <v>366</v>
      </c>
      <c r="B42" t="s">
        <v>367</v>
      </c>
      <c r="C42" t="s">
        <v>369</v>
      </c>
      <c r="D42" t="s">
        <v>372</v>
      </c>
    </row>
    <row r="43" spans="1:12" x14ac:dyDescent="0.35">
      <c r="A43" s="13" t="s">
        <v>57</v>
      </c>
      <c r="B43" s="15">
        <v>15</v>
      </c>
      <c r="C43" s="15">
        <v>153</v>
      </c>
    </row>
    <row r="44" spans="1:12" x14ac:dyDescent="0.35">
      <c r="A44" s="13" t="s">
        <v>28</v>
      </c>
      <c r="B44" s="15">
        <v>20</v>
      </c>
      <c r="C44" s="15">
        <v>210</v>
      </c>
    </row>
    <row r="45" spans="1:12" x14ac:dyDescent="0.35">
      <c r="A45" s="13" t="s">
        <v>37</v>
      </c>
      <c r="B45" s="15">
        <v>12</v>
      </c>
      <c r="C45" s="15">
        <v>180</v>
      </c>
    </row>
    <row r="46" spans="1:12" x14ac:dyDescent="0.35">
      <c r="A46" s="13" t="s">
        <v>43</v>
      </c>
      <c r="B46" s="15">
        <v>16</v>
      </c>
      <c r="C46" s="15">
        <v>223</v>
      </c>
    </row>
    <row r="47" spans="1:12" x14ac:dyDescent="0.35">
      <c r="A47" s="13" t="s">
        <v>18</v>
      </c>
      <c r="B47" s="15">
        <v>13</v>
      </c>
      <c r="C47" s="15">
        <v>153</v>
      </c>
    </row>
    <row r="48" spans="1:12" x14ac:dyDescent="0.35">
      <c r="A48" s="13" t="s">
        <v>33</v>
      </c>
      <c r="B48" s="15">
        <v>13</v>
      </c>
      <c r="C48" s="15">
        <v>183</v>
      </c>
    </row>
    <row r="49" spans="1:3" x14ac:dyDescent="0.35">
      <c r="A49" s="13" t="s">
        <v>45</v>
      </c>
      <c r="B49" s="15">
        <v>14</v>
      </c>
      <c r="C49" s="15">
        <v>137</v>
      </c>
    </row>
    <row r="50" spans="1:3" x14ac:dyDescent="0.35">
      <c r="A50" s="13" t="s">
        <v>40</v>
      </c>
      <c r="B50" s="15">
        <v>16</v>
      </c>
      <c r="C50" s="15">
        <v>245</v>
      </c>
    </row>
    <row r="51" spans="1:3" x14ac:dyDescent="0.35">
      <c r="A51" s="13" t="s">
        <v>371</v>
      </c>
      <c r="B51" s="15">
        <v>1</v>
      </c>
      <c r="C51" s="15">
        <v>21</v>
      </c>
    </row>
    <row r="52" spans="1:3" x14ac:dyDescent="0.35">
      <c r="A52" s="13" t="s">
        <v>353</v>
      </c>
      <c r="B52" s="15">
        <v>120</v>
      </c>
      <c r="C52" s="15">
        <v>1505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4" customWidth="1"/>
    <col min="2" max="4" width="14" customWidth="1"/>
  </cols>
  <sheetData>
    <row r="1" spans="1:4" x14ac:dyDescent="0.35">
      <c r="A1" s="1" t="s">
        <v>6</v>
      </c>
      <c r="B1" s="1" t="s">
        <v>5</v>
      </c>
      <c r="C1" s="1" t="s">
        <v>8</v>
      </c>
      <c r="D1" s="1" t="s">
        <v>163</v>
      </c>
    </row>
    <row r="2" spans="1:4" x14ac:dyDescent="0.35">
      <c r="A2" t="s">
        <v>50</v>
      </c>
      <c r="B2" t="s">
        <v>20</v>
      </c>
      <c r="C2" s="3">
        <v>95000</v>
      </c>
      <c r="D2" s="3">
        <v>65726</v>
      </c>
    </row>
    <row r="3" spans="1:4" x14ac:dyDescent="0.35">
      <c r="A3" t="s">
        <v>21</v>
      </c>
      <c r="B3" t="s">
        <v>20</v>
      </c>
      <c r="C3" s="3">
        <v>1500</v>
      </c>
      <c r="D3" s="3">
        <v>954</v>
      </c>
    </row>
    <row r="4" spans="1:4" x14ac:dyDescent="0.35">
      <c r="A4" t="s">
        <v>38</v>
      </c>
      <c r="B4" t="s">
        <v>20</v>
      </c>
      <c r="C4" s="3">
        <v>8500</v>
      </c>
      <c r="D4" s="3">
        <v>4714</v>
      </c>
    </row>
    <row r="5" spans="1:4" x14ac:dyDescent="0.35">
      <c r="A5" t="s">
        <v>58</v>
      </c>
      <c r="B5" t="s">
        <v>24</v>
      </c>
      <c r="C5" s="3">
        <v>12000</v>
      </c>
      <c r="D5" s="3">
        <v>8805</v>
      </c>
    </row>
    <row r="6" spans="1:4" x14ac:dyDescent="0.35">
      <c r="A6" t="s">
        <v>34</v>
      </c>
      <c r="B6" t="s">
        <v>24</v>
      </c>
      <c r="C6" s="3">
        <v>24000</v>
      </c>
      <c r="D6" s="3">
        <v>13587</v>
      </c>
    </row>
    <row r="7" spans="1:4" x14ac:dyDescent="0.35">
      <c r="A7" t="s">
        <v>25</v>
      </c>
      <c r="B7" t="s">
        <v>24</v>
      </c>
      <c r="C7" s="3">
        <v>7000</v>
      </c>
      <c r="D7" s="3">
        <v>4582</v>
      </c>
    </row>
    <row r="8" spans="1:4" x14ac:dyDescent="0.35">
      <c r="A8" t="s">
        <v>73</v>
      </c>
      <c r="B8" t="s">
        <v>29</v>
      </c>
      <c r="C8" s="3">
        <v>350</v>
      </c>
      <c r="D8" s="3">
        <v>259</v>
      </c>
    </row>
    <row r="9" spans="1:4" x14ac:dyDescent="0.35">
      <c r="A9" t="s">
        <v>30</v>
      </c>
      <c r="B9" t="s">
        <v>29</v>
      </c>
      <c r="C9" s="3">
        <v>250</v>
      </c>
      <c r="D9" s="3">
        <v>143</v>
      </c>
    </row>
    <row r="10" spans="1:4" x14ac:dyDescent="0.35">
      <c r="A10" t="s">
        <v>47</v>
      </c>
      <c r="B10" t="s">
        <v>29</v>
      </c>
      <c r="C10" s="3">
        <v>600</v>
      </c>
      <c r="D10" s="3">
        <v>419</v>
      </c>
    </row>
  </sheetData>
  <autoFilter ref="A1:D10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18" customWidth="1"/>
  </cols>
  <sheetData>
    <row r="1" spans="1:3" x14ac:dyDescent="0.35">
      <c r="A1" s="1" t="s">
        <v>2</v>
      </c>
      <c r="B1" s="1" t="s">
        <v>3</v>
      </c>
      <c r="C1" s="1" t="s">
        <v>164</v>
      </c>
    </row>
    <row r="2" spans="1:3" x14ac:dyDescent="0.35">
      <c r="A2" t="s">
        <v>17</v>
      </c>
      <c r="B2" t="s">
        <v>57</v>
      </c>
      <c r="C2" s="3">
        <v>300000</v>
      </c>
    </row>
    <row r="3" spans="1:3" x14ac:dyDescent="0.35">
      <c r="A3" t="s">
        <v>17</v>
      </c>
      <c r="B3" t="s">
        <v>18</v>
      </c>
      <c r="C3" s="3">
        <v>250000</v>
      </c>
    </row>
    <row r="4" spans="1:3" x14ac:dyDescent="0.35">
      <c r="A4" t="s">
        <v>32</v>
      </c>
      <c r="B4" t="s">
        <v>33</v>
      </c>
      <c r="C4" s="3">
        <v>150000</v>
      </c>
    </row>
    <row r="5" spans="1:3" x14ac:dyDescent="0.35">
      <c r="A5" t="s">
        <v>32</v>
      </c>
      <c r="B5" t="s">
        <v>45</v>
      </c>
      <c r="C5" s="3">
        <v>300000</v>
      </c>
    </row>
    <row r="6" spans="1:3" x14ac:dyDescent="0.35">
      <c r="A6" t="s">
        <v>36</v>
      </c>
      <c r="B6" t="s">
        <v>37</v>
      </c>
      <c r="C6" s="3">
        <v>150000</v>
      </c>
    </row>
    <row r="7" spans="1:3" x14ac:dyDescent="0.35">
      <c r="A7" t="s">
        <v>36</v>
      </c>
      <c r="B7" t="s">
        <v>43</v>
      </c>
      <c r="C7" s="3">
        <v>200000</v>
      </c>
    </row>
    <row r="8" spans="1:3" x14ac:dyDescent="0.35">
      <c r="A8" t="s">
        <v>27</v>
      </c>
      <c r="B8" t="s">
        <v>40</v>
      </c>
      <c r="C8" s="3">
        <v>300000</v>
      </c>
    </row>
    <row r="9" spans="1:3" x14ac:dyDescent="0.35">
      <c r="A9" t="s">
        <v>27</v>
      </c>
      <c r="B9" t="s">
        <v>28</v>
      </c>
      <c r="C9" s="3">
        <v>150000</v>
      </c>
    </row>
  </sheetData>
  <autoFilter ref="A1:C9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/>
  </sheetViews>
  <sheetFormatPr defaultRowHeight="14.5" x14ac:dyDescent="0.35"/>
  <cols>
    <col min="1" max="1" width="14" customWidth="1"/>
    <col min="2" max="2" width="16" customWidth="1"/>
    <col min="4" max="4" width="14" customWidth="1"/>
    <col min="5" max="5" width="16" customWidth="1"/>
    <col min="7" max="8" width="16" customWidth="1"/>
  </cols>
  <sheetData>
    <row r="1" spans="1:8" ht="23.5" x14ac:dyDescent="0.55000000000000004">
      <c r="A1" s="5" t="s">
        <v>165</v>
      </c>
    </row>
    <row r="3" spans="1:8" x14ac:dyDescent="0.35">
      <c r="A3" s="6" t="s">
        <v>166</v>
      </c>
      <c r="D3" s="6" t="s">
        <v>167</v>
      </c>
      <c r="G3" s="6" t="s">
        <v>168</v>
      </c>
    </row>
    <row r="4" spans="1:8" x14ac:dyDescent="0.35">
      <c r="A4" s="7" t="s">
        <v>169</v>
      </c>
      <c r="B4" s="7" t="s">
        <v>170</v>
      </c>
      <c r="D4" s="7" t="s">
        <v>2</v>
      </c>
      <c r="E4" s="7" t="s">
        <v>170</v>
      </c>
      <c r="G4" s="7" t="s">
        <v>5</v>
      </c>
      <c r="H4" s="7" t="s">
        <v>170</v>
      </c>
    </row>
    <row r="5" spans="1:8" x14ac:dyDescent="0.35">
      <c r="A5" s="8">
        <v>45658</v>
      </c>
      <c r="B5" s="3">
        <v>2631775</v>
      </c>
      <c r="D5" t="s">
        <v>17</v>
      </c>
      <c r="E5" s="3">
        <v>5300280</v>
      </c>
      <c r="G5" t="s">
        <v>20</v>
      </c>
      <c r="H5" s="3">
        <v>11912375</v>
      </c>
    </row>
    <row r="6" spans="1:8" x14ac:dyDescent="0.35">
      <c r="A6" s="8">
        <v>45689</v>
      </c>
      <c r="B6" s="3">
        <v>678050</v>
      </c>
      <c r="D6" t="s">
        <v>32</v>
      </c>
      <c r="E6" s="3">
        <v>3712480</v>
      </c>
      <c r="G6" t="s">
        <v>24</v>
      </c>
      <c r="H6" s="3">
        <v>6653000</v>
      </c>
    </row>
    <row r="7" spans="1:8" x14ac:dyDescent="0.35">
      <c r="A7" s="8">
        <v>45717</v>
      </c>
      <c r="B7" s="3">
        <v>3360925</v>
      </c>
      <c r="D7" t="s">
        <v>36</v>
      </c>
      <c r="E7" s="3">
        <v>5853755</v>
      </c>
      <c r="G7" t="s">
        <v>29</v>
      </c>
      <c r="H7" s="3">
        <v>179860</v>
      </c>
    </row>
    <row r="8" spans="1:8" x14ac:dyDescent="0.35">
      <c r="A8" s="8">
        <v>45748</v>
      </c>
      <c r="B8" s="3">
        <v>1417700</v>
      </c>
      <c r="D8" t="s">
        <v>27</v>
      </c>
      <c r="E8" s="3">
        <v>3878720</v>
      </c>
    </row>
    <row r="9" spans="1:8" x14ac:dyDescent="0.35">
      <c r="A9" s="8">
        <v>45778</v>
      </c>
      <c r="B9" s="3">
        <v>1129620</v>
      </c>
    </row>
    <row r="10" spans="1:8" x14ac:dyDescent="0.35">
      <c r="A10" s="8">
        <v>45809</v>
      </c>
      <c r="B10" s="3">
        <v>2216930</v>
      </c>
    </row>
    <row r="11" spans="1:8" x14ac:dyDescent="0.35">
      <c r="A11" s="8">
        <v>45839</v>
      </c>
      <c r="B11" s="3">
        <v>460140</v>
      </c>
    </row>
    <row r="12" spans="1:8" x14ac:dyDescent="0.35">
      <c r="A12" s="8">
        <v>45870</v>
      </c>
      <c r="B12" s="3">
        <v>2345135</v>
      </c>
    </row>
    <row r="13" spans="1:8" x14ac:dyDescent="0.35">
      <c r="A13" s="8">
        <v>45901</v>
      </c>
      <c r="B13" s="3">
        <v>1818600</v>
      </c>
    </row>
    <row r="14" spans="1:8" x14ac:dyDescent="0.35">
      <c r="A14" s="8">
        <v>45931</v>
      </c>
      <c r="B14" s="3">
        <v>1193950</v>
      </c>
    </row>
    <row r="15" spans="1:8" x14ac:dyDescent="0.35">
      <c r="A15" s="8">
        <v>45962</v>
      </c>
      <c r="B15" s="3">
        <v>808425</v>
      </c>
    </row>
    <row r="16" spans="1:8" x14ac:dyDescent="0.35">
      <c r="A16" s="8">
        <v>45992</v>
      </c>
      <c r="B16" s="3">
        <v>683985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1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32" customWidth="1"/>
    <col min="2" max="2" width="72" customWidth="1"/>
    <col min="3" max="3" width="18" customWidth="1"/>
    <col min="5" max="6" width="13" hidden="1" customWidth="1"/>
  </cols>
  <sheetData>
    <row r="1" spans="1:6" ht="23.5" x14ac:dyDescent="0.55000000000000004">
      <c r="A1" s="5" t="s">
        <v>171</v>
      </c>
      <c r="E1" t="s">
        <v>172</v>
      </c>
      <c r="F1" t="s">
        <v>172</v>
      </c>
    </row>
    <row r="2" spans="1:6" x14ac:dyDescent="0.35">
      <c r="E2" t="str">
        <f>IF(Sales!C2="East",Sales!H2,"")</f>
        <v/>
      </c>
      <c r="F2" t="str">
        <f>IF(Sales!C2="East",Sales!H2,"")</f>
        <v/>
      </c>
    </row>
    <row r="3" spans="1:6" x14ac:dyDescent="0.35">
      <c r="A3" s="6" t="s">
        <v>173</v>
      </c>
      <c r="E3" t="str">
        <f>IF(Sales!C3="East",Sales!H3,"")</f>
        <v/>
      </c>
      <c r="F3" t="str">
        <f>IF(Sales!C3="East",Sales!H3,"")</f>
        <v/>
      </c>
    </row>
    <row r="4" spans="1:6" x14ac:dyDescent="0.35">
      <c r="A4" s="7" t="s">
        <v>174</v>
      </c>
      <c r="B4" s="7" t="s">
        <v>175</v>
      </c>
      <c r="C4" s="7" t="s">
        <v>176</v>
      </c>
      <c r="E4" s="7" t="str">
        <f>IF(Sales!C4="East",Sales!H4,"")</f>
        <v/>
      </c>
      <c r="F4" s="7" t="str">
        <f>IF(Sales!C4="East",Sales!H4,"")</f>
        <v/>
      </c>
    </row>
    <row r="5" spans="1:6" x14ac:dyDescent="0.35">
      <c r="A5" t="s">
        <v>177</v>
      </c>
      <c r="B5" t="s">
        <v>178</v>
      </c>
      <c r="C5" s="3">
        <f>SUM(Sales!H2:H121)</f>
        <v>1505</v>
      </c>
      <c r="E5" t="str">
        <f>IF(Sales!C5="East",Sales!H5,"")</f>
        <v/>
      </c>
      <c r="F5" t="str">
        <f>IF(Sales!C5="East",Sales!H5,"")</f>
        <v/>
      </c>
    </row>
    <row r="6" spans="1:6" x14ac:dyDescent="0.35">
      <c r="A6" t="s">
        <v>179</v>
      </c>
      <c r="B6" t="s">
        <v>180</v>
      </c>
      <c r="C6" s="9">
        <f>AVERAGE(Sales!H2:H121)</f>
        <v>12.541666666666666</v>
      </c>
      <c r="E6">
        <f>IF(Sales!C6="East",Sales!H6,"")</f>
        <v>22</v>
      </c>
      <c r="F6">
        <f>IF(Sales!C6="East",Sales!H6,"")</f>
        <v>22</v>
      </c>
    </row>
    <row r="7" spans="1:6" x14ac:dyDescent="0.35">
      <c r="A7" t="s">
        <v>181</v>
      </c>
      <c r="B7" t="s">
        <v>182</v>
      </c>
      <c r="C7" s="3">
        <f>MIN(Sales!H2:H121)</f>
        <v>1</v>
      </c>
      <c r="E7" t="str">
        <f>IF(Sales!C7="East",Sales!H7,"")</f>
        <v/>
      </c>
      <c r="F7" t="str">
        <f>IF(Sales!C7="East",Sales!H7,"")</f>
        <v/>
      </c>
    </row>
    <row r="8" spans="1:6" x14ac:dyDescent="0.35">
      <c r="A8" t="s">
        <v>183</v>
      </c>
      <c r="B8" t="s">
        <v>184</v>
      </c>
      <c r="C8" s="3">
        <f>MAX(Sales!H2:H121)</f>
        <v>25</v>
      </c>
      <c r="E8">
        <f>IF(Sales!C8="East",Sales!H8,"")</f>
        <v>15</v>
      </c>
      <c r="F8">
        <f>IF(Sales!C8="East",Sales!H8,"")</f>
        <v>15</v>
      </c>
    </row>
    <row r="9" spans="1:6" x14ac:dyDescent="0.35">
      <c r="A9" t="s">
        <v>185</v>
      </c>
      <c r="B9" t="s">
        <v>186</v>
      </c>
      <c r="C9" s="3">
        <f>MEDIAN(Sales!H2:H121)</f>
        <v>12</v>
      </c>
      <c r="E9" t="str">
        <f>IF(Sales!C9="East",Sales!H9,"")</f>
        <v/>
      </c>
      <c r="F9" t="str">
        <f>IF(Sales!C9="East",Sales!H9,"")</f>
        <v/>
      </c>
    </row>
    <row r="10" spans="1:6" x14ac:dyDescent="0.35">
      <c r="A10" t="s">
        <v>187</v>
      </c>
      <c r="B10" t="s">
        <v>188</v>
      </c>
      <c r="C10" s="3">
        <f>MODE(Sales!H2:H121)</f>
        <v>16</v>
      </c>
      <c r="E10" t="str">
        <f>IF(Sales!C10="East",Sales!H10,"")</f>
        <v/>
      </c>
      <c r="F10" t="str">
        <f>IF(Sales!C10="East",Sales!H10,"")</f>
        <v/>
      </c>
    </row>
    <row r="11" spans="1:6" x14ac:dyDescent="0.35">
      <c r="A11" t="s">
        <v>189</v>
      </c>
      <c r="B11" t="s">
        <v>190</v>
      </c>
      <c r="C11" s="3">
        <f>COUNT(Sales!H2:H121)</f>
        <v>120</v>
      </c>
      <c r="E11">
        <f>IF(Sales!C11="East",Sales!H11,"")</f>
        <v>7</v>
      </c>
      <c r="F11">
        <f>IF(Sales!C11="East",Sales!H11,"")</f>
        <v>7</v>
      </c>
    </row>
    <row r="12" spans="1:6" x14ac:dyDescent="0.35">
      <c r="A12" t="s">
        <v>191</v>
      </c>
      <c r="B12" t="s">
        <v>192</v>
      </c>
      <c r="C12" s="3">
        <f>COUNTA(Sales!A2:A121)</f>
        <v>120</v>
      </c>
      <c r="E12" t="str">
        <f>IF(Sales!C12="East",Sales!H12,"")</f>
        <v/>
      </c>
      <c r="F12" t="str">
        <f>IF(Sales!C12="East",Sales!H12,"")</f>
        <v/>
      </c>
    </row>
    <row r="13" spans="1:6" x14ac:dyDescent="0.35">
      <c r="A13" t="s">
        <v>193</v>
      </c>
      <c r="B13" t="s">
        <v>194</v>
      </c>
      <c r="C13" s="3">
        <f>COUNTBLANK(Sales!A2:A121)</f>
        <v>0</v>
      </c>
      <c r="E13" t="str">
        <f>IF(Sales!C13="East",Sales!H13,"")</f>
        <v/>
      </c>
      <c r="F13" t="str">
        <f>IF(Sales!C13="East",Sales!H13,"")</f>
        <v/>
      </c>
    </row>
    <row r="14" spans="1:6" x14ac:dyDescent="0.35">
      <c r="A14" t="s">
        <v>195</v>
      </c>
      <c r="B14" t="s">
        <v>196</v>
      </c>
      <c r="C14" s="3">
        <f>LARGE(Sales!H2:H121,3)</f>
        <v>25</v>
      </c>
      <c r="E14" t="str">
        <f>IF(Sales!C14="East",Sales!H14,"")</f>
        <v/>
      </c>
      <c r="F14" t="str">
        <f>IF(Sales!C14="East",Sales!H14,"")</f>
        <v/>
      </c>
    </row>
    <row r="15" spans="1:6" x14ac:dyDescent="0.35">
      <c r="A15" t="s">
        <v>197</v>
      </c>
      <c r="B15" t="s">
        <v>198</v>
      </c>
      <c r="C15" s="3">
        <f>SMALL(Sales!H2:H121,3)</f>
        <v>1</v>
      </c>
      <c r="E15" t="str">
        <f>IF(Sales!C15="East",Sales!H15,"")</f>
        <v/>
      </c>
      <c r="F15" t="str">
        <f>IF(Sales!C15="East",Sales!H15,"")</f>
        <v/>
      </c>
    </row>
    <row r="16" spans="1:6" x14ac:dyDescent="0.35">
      <c r="A16" t="s">
        <v>199</v>
      </c>
      <c r="B16" t="s">
        <v>200</v>
      </c>
      <c r="C16" s="3">
        <f>SUBTOTAL(109,Sales!H2:H121)</f>
        <v>174</v>
      </c>
      <c r="E16" t="str">
        <f>IF(Sales!C16="East",Sales!H16,"")</f>
        <v/>
      </c>
      <c r="F16" t="str">
        <f>IF(Sales!C16="East",Sales!H16,"")</f>
        <v/>
      </c>
    </row>
    <row r="17" spans="1:6" x14ac:dyDescent="0.35">
      <c r="E17">
        <f>IF(Sales!C17="East",Sales!H17,"")</f>
        <v>25</v>
      </c>
      <c r="F17">
        <f>IF(Sales!C17="East",Sales!H17,"")</f>
        <v>25</v>
      </c>
    </row>
    <row r="18" spans="1:6" x14ac:dyDescent="0.35">
      <c r="E18" t="str">
        <f>IF(Sales!C18="East",Sales!H18,"")</f>
        <v/>
      </c>
      <c r="F18" t="str">
        <f>IF(Sales!C18="East",Sales!H18,"")</f>
        <v/>
      </c>
    </row>
    <row r="19" spans="1:6" x14ac:dyDescent="0.35">
      <c r="A19" s="6" t="s">
        <v>201</v>
      </c>
      <c r="E19" t="str">
        <f>IF(Sales!C19="East",Sales!H19,"")</f>
        <v/>
      </c>
      <c r="F19" t="str">
        <f>IF(Sales!C19="East",Sales!H19,"")</f>
        <v/>
      </c>
    </row>
    <row r="20" spans="1:6" x14ac:dyDescent="0.35">
      <c r="A20" s="7" t="s">
        <v>174</v>
      </c>
      <c r="B20" s="7" t="s">
        <v>175</v>
      </c>
      <c r="C20" s="7" t="s">
        <v>176</v>
      </c>
      <c r="E20" s="7" t="str">
        <f>IF(Sales!C20="East",Sales!H20,"")</f>
        <v/>
      </c>
      <c r="F20" s="7" t="str">
        <f>IF(Sales!C20="East",Sales!H20,"")</f>
        <v/>
      </c>
    </row>
    <row r="21" spans="1:6" x14ac:dyDescent="0.35">
      <c r="A21" t="s">
        <v>202</v>
      </c>
      <c r="B21" t="s">
        <v>203</v>
      </c>
      <c r="C21" s="3">
        <f>SUMIF(Sales!C2:C121,"North",Sales!H2:H121)</f>
        <v>327</v>
      </c>
      <c r="E21" t="str">
        <f>IF(Sales!C21="East",Sales!H21,"")</f>
        <v/>
      </c>
      <c r="F21" t="str">
        <f>IF(Sales!C21="East",Sales!H21,"")</f>
        <v/>
      </c>
    </row>
    <row r="22" spans="1:6" x14ac:dyDescent="0.35">
      <c r="A22" t="s">
        <v>204</v>
      </c>
      <c r="B22" t="s">
        <v>205</v>
      </c>
      <c r="C22" s="3">
        <f>SUMIFS(Sales!H2:H121,Sales!C2:C121,"North",Sales!F2:F121,"Electronics")</f>
        <v>115</v>
      </c>
      <c r="E22" t="str">
        <f>IF(Sales!C22="East",Sales!H22,"")</f>
        <v/>
      </c>
      <c r="F22" t="str">
        <f>IF(Sales!C22="East",Sales!H22,"")</f>
        <v/>
      </c>
    </row>
    <row r="23" spans="1:6" x14ac:dyDescent="0.35">
      <c r="A23" t="s">
        <v>206</v>
      </c>
      <c r="B23" t="s">
        <v>207</v>
      </c>
      <c r="C23" s="3">
        <f>COUNTIF(Sales!F2:F121,"Furniture")</f>
        <v>43</v>
      </c>
      <c r="E23" t="str">
        <f>IF(Sales!C23="East",Sales!H23,"")</f>
        <v/>
      </c>
      <c r="F23" t="str">
        <f>IF(Sales!C23="East",Sales!H23,"")</f>
        <v/>
      </c>
    </row>
    <row r="24" spans="1:6" x14ac:dyDescent="0.35">
      <c r="A24" t="s">
        <v>208</v>
      </c>
      <c r="B24" t="s">
        <v>209</v>
      </c>
      <c r="C24" s="3">
        <f>COUNTIFS(Sales!C2:C121,"West",Sales!E2:E121,"Online")</f>
        <v>14</v>
      </c>
      <c r="E24">
        <f>IF(Sales!C24="East",Sales!H24,"")</f>
        <v>8</v>
      </c>
      <c r="F24">
        <f>IF(Sales!C24="East",Sales!H24,"")</f>
        <v>8</v>
      </c>
    </row>
    <row r="25" spans="1:6" x14ac:dyDescent="0.35">
      <c r="A25" t="s">
        <v>210</v>
      </c>
      <c r="B25" t="s">
        <v>211</v>
      </c>
      <c r="C25" s="9">
        <f>AVERAGEIF(Sales!C2:C121,"North",Sales!H2:H121)</f>
        <v>11.275862068965518</v>
      </c>
      <c r="E25" t="str">
        <f>IF(Sales!C25="East",Sales!H25,"")</f>
        <v/>
      </c>
      <c r="F25" t="str">
        <f>IF(Sales!C25="East",Sales!H25,"")</f>
        <v/>
      </c>
    </row>
    <row r="26" spans="1:6" x14ac:dyDescent="0.35">
      <c r="A26" t="s">
        <v>212</v>
      </c>
      <c r="B26" t="s">
        <v>213</v>
      </c>
      <c r="C26" s="9">
        <f>AVERAGEIFS(Sales!H2:H121,Sales!C2:C121,"North",Sales!F2:F121,"Electronics")</f>
        <v>8.8461538461538467</v>
      </c>
      <c r="E26" t="str">
        <f>IF(Sales!C26="East",Sales!H26,"")</f>
        <v/>
      </c>
      <c r="F26" t="str">
        <f>IF(Sales!C26="East",Sales!H26,"")</f>
        <v/>
      </c>
    </row>
    <row r="27" spans="1:6" x14ac:dyDescent="0.35">
      <c r="A27" t="s">
        <v>214</v>
      </c>
      <c r="B27" t="s">
        <v>215</v>
      </c>
      <c r="C27" s="3">
        <f>MAX(E2:E121)</f>
        <v>25</v>
      </c>
      <c r="E27" t="str">
        <f>IF(Sales!C27="East",Sales!H27,"")</f>
        <v/>
      </c>
      <c r="F27" t="str">
        <f>IF(Sales!C27="East",Sales!H27,"")</f>
        <v/>
      </c>
    </row>
    <row r="28" spans="1:6" x14ac:dyDescent="0.35">
      <c r="A28" t="s">
        <v>216</v>
      </c>
      <c r="B28" t="s">
        <v>217</v>
      </c>
      <c r="C28" s="3">
        <f>MIN(F2:F121)</f>
        <v>2</v>
      </c>
      <c r="E28" t="str">
        <f>IF(Sales!C28="East",Sales!H28,"")</f>
        <v/>
      </c>
      <c r="F28" t="str">
        <f>IF(Sales!C28="East",Sales!H28,"")</f>
        <v/>
      </c>
    </row>
    <row r="29" spans="1:6" x14ac:dyDescent="0.35">
      <c r="A29" t="s">
        <v>218</v>
      </c>
      <c r="B29" t="s">
        <v>219</v>
      </c>
      <c r="C29" s="3">
        <f>SUMPRODUCT((Sales!C2:C121="South")*Sales!H2:H121*Sales!I2:I121)</f>
        <v>4015750</v>
      </c>
      <c r="E29" t="str">
        <f>IF(Sales!C29="East",Sales!H29,"")</f>
        <v/>
      </c>
      <c r="F29" t="str">
        <f>IF(Sales!C29="East",Sales!H29,"")</f>
        <v/>
      </c>
    </row>
    <row r="30" spans="1:6" x14ac:dyDescent="0.35">
      <c r="E30" t="str">
        <f>IF(Sales!C30="East",Sales!H30,"")</f>
        <v/>
      </c>
      <c r="F30" t="str">
        <f>IF(Sales!C30="East",Sales!H30,"")</f>
        <v/>
      </c>
    </row>
    <row r="31" spans="1:6" x14ac:dyDescent="0.35">
      <c r="E31" t="str">
        <f>IF(Sales!C31="East",Sales!H31,"")</f>
        <v/>
      </c>
      <c r="F31" t="str">
        <f>IF(Sales!C31="East",Sales!H31,"")</f>
        <v/>
      </c>
    </row>
    <row r="32" spans="1:6" x14ac:dyDescent="0.35">
      <c r="E32" t="str">
        <f>IF(Sales!C32="East",Sales!H32,"")</f>
        <v/>
      </c>
      <c r="F32" t="str">
        <f>IF(Sales!C32="East",Sales!H32,"")</f>
        <v/>
      </c>
    </row>
    <row r="33" spans="5:6" x14ac:dyDescent="0.35">
      <c r="E33" t="str">
        <f>IF(Sales!C33="East",Sales!H33,"")</f>
        <v/>
      </c>
      <c r="F33" t="str">
        <f>IF(Sales!C33="East",Sales!H33,"")</f>
        <v/>
      </c>
    </row>
    <row r="34" spans="5:6" x14ac:dyDescent="0.35">
      <c r="E34" t="str">
        <f>IF(Sales!C34="East",Sales!H34,"")</f>
        <v/>
      </c>
      <c r="F34" t="str">
        <f>IF(Sales!C34="East",Sales!H34,"")</f>
        <v/>
      </c>
    </row>
    <row r="35" spans="5:6" x14ac:dyDescent="0.35">
      <c r="E35">
        <f>IF(Sales!C35="East",Sales!H35,"")</f>
        <v>19</v>
      </c>
      <c r="F35">
        <f>IF(Sales!C35="East",Sales!H35,"")</f>
        <v>19</v>
      </c>
    </row>
    <row r="36" spans="5:6" x14ac:dyDescent="0.35">
      <c r="E36">
        <f>IF(Sales!C36="East",Sales!H36,"")</f>
        <v>2</v>
      </c>
      <c r="F36">
        <f>IF(Sales!C36="East",Sales!H36,"")</f>
        <v>2</v>
      </c>
    </row>
    <row r="37" spans="5:6" x14ac:dyDescent="0.35">
      <c r="E37" t="str">
        <f>IF(Sales!C37="East",Sales!H37,"")</f>
        <v/>
      </c>
      <c r="F37" t="str">
        <f>IF(Sales!C37="East",Sales!H37,"")</f>
        <v/>
      </c>
    </row>
    <row r="38" spans="5:6" x14ac:dyDescent="0.35">
      <c r="E38" t="str">
        <f>IF(Sales!C38="East",Sales!H38,"")</f>
        <v/>
      </c>
      <c r="F38" t="str">
        <f>IF(Sales!C38="East",Sales!H38,"")</f>
        <v/>
      </c>
    </row>
    <row r="39" spans="5:6" x14ac:dyDescent="0.35">
      <c r="E39" t="str">
        <f>IF(Sales!C39="East",Sales!H39,"")</f>
        <v/>
      </c>
      <c r="F39" t="str">
        <f>IF(Sales!C39="East",Sales!H39,"")</f>
        <v/>
      </c>
    </row>
    <row r="40" spans="5:6" x14ac:dyDescent="0.35">
      <c r="E40">
        <f>IF(Sales!C40="East",Sales!H40,"")</f>
        <v>16</v>
      </c>
      <c r="F40">
        <f>IF(Sales!C40="East",Sales!H40,"")</f>
        <v>16</v>
      </c>
    </row>
    <row r="41" spans="5:6" x14ac:dyDescent="0.35">
      <c r="E41" t="str">
        <f>IF(Sales!C41="East",Sales!H41,"")</f>
        <v/>
      </c>
      <c r="F41" t="str">
        <f>IF(Sales!C41="East",Sales!H41,"")</f>
        <v/>
      </c>
    </row>
    <row r="42" spans="5:6" x14ac:dyDescent="0.35">
      <c r="E42" t="str">
        <f>IF(Sales!C42="East",Sales!H42,"")</f>
        <v/>
      </c>
      <c r="F42" t="str">
        <f>IF(Sales!C42="East",Sales!H42,"")</f>
        <v/>
      </c>
    </row>
    <row r="43" spans="5:6" x14ac:dyDescent="0.35">
      <c r="E43" t="str">
        <f>IF(Sales!C43="East",Sales!H43,"")</f>
        <v/>
      </c>
      <c r="F43" t="str">
        <f>IF(Sales!C43="East",Sales!H43,"")</f>
        <v/>
      </c>
    </row>
    <row r="44" spans="5:6" x14ac:dyDescent="0.35">
      <c r="E44" t="str">
        <f>IF(Sales!C44="East",Sales!H44,"")</f>
        <v/>
      </c>
      <c r="F44" t="str">
        <f>IF(Sales!C44="East",Sales!H44,"")</f>
        <v/>
      </c>
    </row>
    <row r="45" spans="5:6" x14ac:dyDescent="0.35">
      <c r="E45" t="str">
        <f>IF(Sales!C45="East",Sales!H45,"")</f>
        <v/>
      </c>
      <c r="F45" t="str">
        <f>IF(Sales!C45="East",Sales!H45,"")</f>
        <v/>
      </c>
    </row>
    <row r="46" spans="5:6" x14ac:dyDescent="0.35">
      <c r="E46">
        <f>IF(Sales!C46="East",Sales!H46,"")</f>
        <v>11</v>
      </c>
      <c r="F46">
        <f>IF(Sales!C46="East",Sales!H46,"")</f>
        <v>11</v>
      </c>
    </row>
    <row r="47" spans="5:6" x14ac:dyDescent="0.35">
      <c r="E47" t="str">
        <f>IF(Sales!C47="East",Sales!H47,"")</f>
        <v/>
      </c>
      <c r="F47" t="str">
        <f>IF(Sales!C47="East",Sales!H47,"")</f>
        <v/>
      </c>
    </row>
    <row r="48" spans="5:6" x14ac:dyDescent="0.35">
      <c r="E48">
        <f>IF(Sales!C48="East",Sales!H48,"")</f>
        <v>15</v>
      </c>
      <c r="F48">
        <f>IF(Sales!C48="East",Sales!H48,"")</f>
        <v>15</v>
      </c>
    </row>
    <row r="49" spans="5:6" x14ac:dyDescent="0.35">
      <c r="E49" t="str">
        <f>IF(Sales!C49="East",Sales!H49,"")</f>
        <v/>
      </c>
      <c r="F49" t="str">
        <f>IF(Sales!C49="East",Sales!H49,"")</f>
        <v/>
      </c>
    </row>
    <row r="50" spans="5:6" x14ac:dyDescent="0.35">
      <c r="E50" t="str">
        <f>IF(Sales!C50="East",Sales!H50,"")</f>
        <v/>
      </c>
      <c r="F50" t="str">
        <f>IF(Sales!C50="East",Sales!H50,"")</f>
        <v/>
      </c>
    </row>
    <row r="51" spans="5:6" x14ac:dyDescent="0.35">
      <c r="E51">
        <f>IF(Sales!C51="East",Sales!H51,"")</f>
        <v>16</v>
      </c>
      <c r="F51">
        <f>IF(Sales!C51="East",Sales!H51,"")</f>
        <v>16</v>
      </c>
    </row>
    <row r="52" spans="5:6" x14ac:dyDescent="0.35">
      <c r="E52" t="str">
        <f>IF(Sales!C52="East",Sales!H52,"")</f>
        <v/>
      </c>
      <c r="F52" t="str">
        <f>IF(Sales!C52="East",Sales!H52,"")</f>
        <v/>
      </c>
    </row>
    <row r="53" spans="5:6" x14ac:dyDescent="0.35">
      <c r="E53" t="str">
        <f>IF(Sales!C53="East",Sales!H53,"")</f>
        <v/>
      </c>
      <c r="F53" t="str">
        <f>IF(Sales!C53="East",Sales!H53,"")</f>
        <v/>
      </c>
    </row>
    <row r="54" spans="5:6" x14ac:dyDescent="0.35">
      <c r="E54" t="str">
        <f>IF(Sales!C54="East",Sales!H54,"")</f>
        <v/>
      </c>
      <c r="F54" t="str">
        <f>IF(Sales!C54="East",Sales!H54,"")</f>
        <v/>
      </c>
    </row>
    <row r="55" spans="5:6" x14ac:dyDescent="0.35">
      <c r="E55" t="str">
        <f>IF(Sales!C55="East",Sales!H55,"")</f>
        <v/>
      </c>
      <c r="F55" t="str">
        <f>IF(Sales!C55="East",Sales!H55,"")</f>
        <v/>
      </c>
    </row>
    <row r="56" spans="5:6" x14ac:dyDescent="0.35">
      <c r="E56" t="str">
        <f>IF(Sales!C56="East",Sales!H56,"")</f>
        <v/>
      </c>
      <c r="F56" t="str">
        <f>IF(Sales!C56="East",Sales!H56,"")</f>
        <v/>
      </c>
    </row>
    <row r="57" spans="5:6" x14ac:dyDescent="0.35">
      <c r="E57" t="str">
        <f>IF(Sales!C57="East",Sales!H57,"")</f>
        <v/>
      </c>
      <c r="F57" t="str">
        <f>IF(Sales!C57="East",Sales!H57,"")</f>
        <v/>
      </c>
    </row>
    <row r="58" spans="5:6" x14ac:dyDescent="0.35">
      <c r="E58">
        <f>IF(Sales!C58="East",Sales!H58,"")</f>
        <v>25</v>
      </c>
      <c r="F58">
        <f>IF(Sales!C58="East",Sales!H58,"")</f>
        <v>25</v>
      </c>
    </row>
    <row r="59" spans="5:6" x14ac:dyDescent="0.35">
      <c r="E59" t="str">
        <f>IF(Sales!C59="East",Sales!H59,"")</f>
        <v/>
      </c>
      <c r="F59" t="str">
        <f>IF(Sales!C59="East",Sales!H59,"")</f>
        <v/>
      </c>
    </row>
    <row r="60" spans="5:6" x14ac:dyDescent="0.35">
      <c r="E60" t="str">
        <f>IF(Sales!C60="East",Sales!H60,"")</f>
        <v/>
      </c>
      <c r="F60" t="str">
        <f>IF(Sales!C60="East",Sales!H60,"")</f>
        <v/>
      </c>
    </row>
    <row r="61" spans="5:6" x14ac:dyDescent="0.35">
      <c r="E61" t="str">
        <f>IF(Sales!C61="East",Sales!H61,"")</f>
        <v/>
      </c>
      <c r="F61" t="str">
        <f>IF(Sales!C61="East",Sales!H61,"")</f>
        <v/>
      </c>
    </row>
    <row r="62" spans="5:6" x14ac:dyDescent="0.35">
      <c r="E62" t="str">
        <f>IF(Sales!C62="East",Sales!H62,"")</f>
        <v/>
      </c>
      <c r="F62" t="str">
        <f>IF(Sales!C62="East",Sales!H62,"")</f>
        <v/>
      </c>
    </row>
    <row r="63" spans="5:6" x14ac:dyDescent="0.35">
      <c r="E63" t="str">
        <f>IF(Sales!C63="East",Sales!H63,"")</f>
        <v/>
      </c>
      <c r="F63" t="str">
        <f>IF(Sales!C63="East",Sales!H63,"")</f>
        <v/>
      </c>
    </row>
    <row r="64" spans="5:6" x14ac:dyDescent="0.35">
      <c r="E64" t="str">
        <f>IF(Sales!C64="East",Sales!H64,"")</f>
        <v/>
      </c>
      <c r="F64" t="str">
        <f>IF(Sales!C64="East",Sales!H64,"")</f>
        <v/>
      </c>
    </row>
    <row r="65" spans="5:6" x14ac:dyDescent="0.35">
      <c r="E65" t="str">
        <f>IF(Sales!C65="East",Sales!H65,"")</f>
        <v/>
      </c>
      <c r="F65" t="str">
        <f>IF(Sales!C65="East",Sales!H65,"")</f>
        <v/>
      </c>
    </row>
    <row r="66" spans="5:6" x14ac:dyDescent="0.35">
      <c r="E66" t="str">
        <f>IF(Sales!C66="East",Sales!H66,"")</f>
        <v/>
      </c>
      <c r="F66" t="str">
        <f>IF(Sales!C66="East",Sales!H66,"")</f>
        <v/>
      </c>
    </row>
    <row r="67" spans="5:6" x14ac:dyDescent="0.35">
      <c r="E67">
        <f>IF(Sales!C67="East",Sales!H67,"")</f>
        <v>25</v>
      </c>
      <c r="F67">
        <f>IF(Sales!C67="East",Sales!H67,"")</f>
        <v>25</v>
      </c>
    </row>
    <row r="68" spans="5:6" x14ac:dyDescent="0.35">
      <c r="E68" t="str">
        <f>IF(Sales!C68="East",Sales!H68,"")</f>
        <v/>
      </c>
      <c r="F68" t="str">
        <f>IF(Sales!C68="East",Sales!H68,"")</f>
        <v/>
      </c>
    </row>
    <row r="69" spans="5:6" x14ac:dyDescent="0.35">
      <c r="E69" t="str">
        <f>IF(Sales!C69="East",Sales!H69,"")</f>
        <v/>
      </c>
      <c r="F69" t="str">
        <f>IF(Sales!C69="East",Sales!H69,"")</f>
        <v/>
      </c>
    </row>
    <row r="70" spans="5:6" x14ac:dyDescent="0.35">
      <c r="E70" t="str">
        <f>IF(Sales!C70="East",Sales!H70,"")</f>
        <v/>
      </c>
      <c r="F70" t="str">
        <f>IF(Sales!C70="East",Sales!H70,"")</f>
        <v/>
      </c>
    </row>
    <row r="71" spans="5:6" x14ac:dyDescent="0.35">
      <c r="E71" t="str">
        <f>IF(Sales!C71="East",Sales!H71,"")</f>
        <v/>
      </c>
      <c r="F71" t="str">
        <f>IF(Sales!C71="East",Sales!H71,"")</f>
        <v/>
      </c>
    </row>
    <row r="72" spans="5:6" x14ac:dyDescent="0.35">
      <c r="E72" t="str">
        <f>IF(Sales!C72="East",Sales!H72,"")</f>
        <v/>
      </c>
      <c r="F72" t="str">
        <f>IF(Sales!C72="East",Sales!H72,"")</f>
        <v/>
      </c>
    </row>
    <row r="73" spans="5:6" x14ac:dyDescent="0.35">
      <c r="E73">
        <f>IF(Sales!C73="East",Sales!H73,"")</f>
        <v>15</v>
      </c>
      <c r="F73">
        <f>IF(Sales!C73="East",Sales!H73,"")</f>
        <v>15</v>
      </c>
    </row>
    <row r="74" spans="5:6" x14ac:dyDescent="0.35">
      <c r="E74">
        <f>IF(Sales!C74="East",Sales!H74,"")</f>
        <v>17</v>
      </c>
      <c r="F74">
        <f>IF(Sales!C74="East",Sales!H74,"")</f>
        <v>17</v>
      </c>
    </row>
    <row r="75" spans="5:6" x14ac:dyDescent="0.35">
      <c r="E75">
        <f>IF(Sales!C75="East",Sales!H75,"")</f>
        <v>2</v>
      </c>
      <c r="F75">
        <f>IF(Sales!C75="East",Sales!H75,"")</f>
        <v>2</v>
      </c>
    </row>
    <row r="76" spans="5:6" x14ac:dyDescent="0.35">
      <c r="E76" t="str">
        <f>IF(Sales!C76="East",Sales!H76,"")</f>
        <v/>
      </c>
      <c r="F76" t="str">
        <f>IF(Sales!C76="East",Sales!H76,"")</f>
        <v/>
      </c>
    </row>
    <row r="77" spans="5:6" x14ac:dyDescent="0.35">
      <c r="E77" t="str">
        <f>IF(Sales!C77="East",Sales!H77,"")</f>
        <v/>
      </c>
      <c r="F77" t="str">
        <f>IF(Sales!C77="East",Sales!H77,"")</f>
        <v/>
      </c>
    </row>
    <row r="78" spans="5:6" x14ac:dyDescent="0.35">
      <c r="E78" t="str">
        <f>IF(Sales!C78="East",Sales!H78,"")</f>
        <v/>
      </c>
      <c r="F78" t="str">
        <f>IF(Sales!C78="East",Sales!H78,"")</f>
        <v/>
      </c>
    </row>
    <row r="79" spans="5:6" x14ac:dyDescent="0.35">
      <c r="E79" t="str">
        <f>IF(Sales!C79="East",Sales!H79,"")</f>
        <v/>
      </c>
      <c r="F79" t="str">
        <f>IF(Sales!C79="East",Sales!H79,"")</f>
        <v/>
      </c>
    </row>
    <row r="80" spans="5:6" x14ac:dyDescent="0.35">
      <c r="E80" t="str">
        <f>IF(Sales!C80="East",Sales!H80,"")</f>
        <v/>
      </c>
      <c r="F80" t="str">
        <f>IF(Sales!C80="East",Sales!H80,"")</f>
        <v/>
      </c>
    </row>
    <row r="81" spans="5:6" x14ac:dyDescent="0.35">
      <c r="E81" t="str">
        <f>IF(Sales!C81="East",Sales!H81,"")</f>
        <v/>
      </c>
      <c r="F81" t="str">
        <f>IF(Sales!C81="East",Sales!H81,"")</f>
        <v/>
      </c>
    </row>
    <row r="82" spans="5:6" x14ac:dyDescent="0.35">
      <c r="E82">
        <f>IF(Sales!C82="East",Sales!H82,"")</f>
        <v>17</v>
      </c>
      <c r="F82">
        <f>IF(Sales!C82="East",Sales!H82,"")</f>
        <v>17</v>
      </c>
    </row>
    <row r="83" spans="5:6" x14ac:dyDescent="0.35">
      <c r="E83" t="str">
        <f>IF(Sales!C83="East",Sales!H83,"")</f>
        <v/>
      </c>
      <c r="F83" t="str">
        <f>IF(Sales!C83="East",Sales!H83,"")</f>
        <v/>
      </c>
    </row>
    <row r="84" spans="5:6" x14ac:dyDescent="0.35">
      <c r="E84" t="str">
        <f>IF(Sales!C84="East",Sales!H84,"")</f>
        <v/>
      </c>
      <c r="F84" t="str">
        <f>IF(Sales!C84="East",Sales!H84,"")</f>
        <v/>
      </c>
    </row>
    <row r="85" spans="5:6" x14ac:dyDescent="0.35">
      <c r="E85" t="str">
        <f>IF(Sales!C85="East",Sales!H85,"")</f>
        <v/>
      </c>
      <c r="F85" t="str">
        <f>IF(Sales!C85="East",Sales!H85,"")</f>
        <v/>
      </c>
    </row>
    <row r="86" spans="5:6" x14ac:dyDescent="0.35">
      <c r="E86">
        <f>IF(Sales!C86="East",Sales!H86,"")</f>
        <v>7</v>
      </c>
      <c r="F86">
        <f>IF(Sales!C86="East",Sales!H86,"")</f>
        <v>7</v>
      </c>
    </row>
    <row r="87" spans="5:6" x14ac:dyDescent="0.35">
      <c r="E87">
        <f>IF(Sales!C87="East",Sales!H87,"")</f>
        <v>7</v>
      </c>
      <c r="F87">
        <f>IF(Sales!C87="East",Sales!H87,"")</f>
        <v>7</v>
      </c>
    </row>
    <row r="88" spans="5:6" x14ac:dyDescent="0.35">
      <c r="E88">
        <f>IF(Sales!C88="East",Sales!H88,"")</f>
        <v>9</v>
      </c>
      <c r="F88">
        <f>IF(Sales!C88="East",Sales!H88,"")</f>
        <v>9</v>
      </c>
    </row>
    <row r="89" spans="5:6" x14ac:dyDescent="0.35">
      <c r="E89" t="str">
        <f>IF(Sales!C89="East",Sales!H89,"")</f>
        <v/>
      </c>
      <c r="F89" t="str">
        <f>IF(Sales!C89="East",Sales!H89,"")</f>
        <v/>
      </c>
    </row>
    <row r="90" spans="5:6" x14ac:dyDescent="0.35">
      <c r="E90" t="str">
        <f>IF(Sales!C90="East",Sales!H90,"")</f>
        <v/>
      </c>
      <c r="F90" t="str">
        <f>IF(Sales!C90="East",Sales!H90,"")</f>
        <v/>
      </c>
    </row>
    <row r="91" spans="5:6" x14ac:dyDescent="0.35">
      <c r="E91" t="str">
        <f>IF(Sales!C91="East",Sales!H91,"")</f>
        <v/>
      </c>
      <c r="F91" t="str">
        <f>IF(Sales!C91="East",Sales!H91,"")</f>
        <v/>
      </c>
    </row>
    <row r="92" spans="5:6" x14ac:dyDescent="0.35">
      <c r="E92" t="str">
        <f>IF(Sales!C92="East",Sales!H92,"")</f>
        <v/>
      </c>
      <c r="F92" t="str">
        <f>IF(Sales!C92="East",Sales!H92,"")</f>
        <v/>
      </c>
    </row>
    <row r="93" spans="5:6" x14ac:dyDescent="0.35">
      <c r="E93">
        <f>IF(Sales!C93="East",Sales!H93,"")</f>
        <v>22</v>
      </c>
      <c r="F93">
        <f>IF(Sales!C93="East",Sales!H93,"")</f>
        <v>22</v>
      </c>
    </row>
    <row r="94" spans="5:6" x14ac:dyDescent="0.35">
      <c r="E94" t="str">
        <f>IF(Sales!C94="East",Sales!H94,"")</f>
        <v/>
      </c>
      <c r="F94" t="str">
        <f>IF(Sales!C94="East",Sales!H94,"")</f>
        <v/>
      </c>
    </row>
    <row r="95" spans="5:6" x14ac:dyDescent="0.35">
      <c r="E95" t="str">
        <f>IF(Sales!C95="East",Sales!H95,"")</f>
        <v/>
      </c>
      <c r="F95" t="str">
        <f>IF(Sales!C95="East",Sales!H95,"")</f>
        <v/>
      </c>
    </row>
    <row r="96" spans="5:6" x14ac:dyDescent="0.35">
      <c r="E96" t="str">
        <f>IF(Sales!C96="East",Sales!H96,"")</f>
        <v/>
      </c>
      <c r="F96" t="str">
        <f>IF(Sales!C96="East",Sales!H96,"")</f>
        <v/>
      </c>
    </row>
    <row r="97" spans="5:6" x14ac:dyDescent="0.35">
      <c r="E97" t="str">
        <f>IF(Sales!C97="East",Sales!H97,"")</f>
        <v/>
      </c>
      <c r="F97" t="str">
        <f>IF(Sales!C97="East",Sales!H97,"")</f>
        <v/>
      </c>
    </row>
    <row r="98" spans="5:6" x14ac:dyDescent="0.35">
      <c r="E98">
        <f>IF(Sales!C98="East",Sales!H98,"")</f>
        <v>5</v>
      </c>
      <c r="F98">
        <f>IF(Sales!C98="East",Sales!H98,"")</f>
        <v>5</v>
      </c>
    </row>
    <row r="99" spans="5:6" x14ac:dyDescent="0.35">
      <c r="E99">
        <f>IF(Sales!C99="East",Sales!H99,"")</f>
        <v>19</v>
      </c>
      <c r="F99">
        <f>IF(Sales!C99="East",Sales!H99,"")</f>
        <v>19</v>
      </c>
    </row>
    <row r="100" spans="5:6" x14ac:dyDescent="0.35">
      <c r="E100" t="str">
        <f>IF(Sales!C100="East",Sales!H100,"")</f>
        <v/>
      </c>
      <c r="F100" t="str">
        <f>IF(Sales!C100="East",Sales!H100,"")</f>
        <v/>
      </c>
    </row>
    <row r="101" spans="5:6" x14ac:dyDescent="0.35">
      <c r="E101" t="str">
        <f>IF(Sales!C101="East",Sales!H101,"")</f>
        <v/>
      </c>
      <c r="F101" t="str">
        <f>IF(Sales!C101="East",Sales!H101,"")</f>
        <v/>
      </c>
    </row>
    <row r="102" spans="5:6" x14ac:dyDescent="0.35">
      <c r="E102">
        <f>IF(Sales!C102="East",Sales!H102,"")</f>
        <v>16</v>
      </c>
      <c r="F102">
        <f>IF(Sales!C102="East",Sales!H102,"")</f>
        <v>16</v>
      </c>
    </row>
    <row r="103" spans="5:6" x14ac:dyDescent="0.35">
      <c r="E103" t="str">
        <f>IF(Sales!C103="East",Sales!H103,"")</f>
        <v/>
      </c>
      <c r="F103" t="str">
        <f>IF(Sales!C103="East",Sales!H103,"")</f>
        <v/>
      </c>
    </row>
    <row r="104" spans="5:6" x14ac:dyDescent="0.35">
      <c r="E104" t="str">
        <f>IF(Sales!C104="East",Sales!H104,"")</f>
        <v/>
      </c>
      <c r="F104" t="str">
        <f>IF(Sales!C104="East",Sales!H104,"")</f>
        <v/>
      </c>
    </row>
    <row r="105" spans="5:6" x14ac:dyDescent="0.35">
      <c r="E105" t="str">
        <f>IF(Sales!C105="East",Sales!H105,"")</f>
        <v/>
      </c>
      <c r="F105" t="str">
        <f>IF(Sales!C105="East",Sales!H105,"")</f>
        <v/>
      </c>
    </row>
    <row r="106" spans="5:6" x14ac:dyDescent="0.35">
      <c r="E106" t="str">
        <f>IF(Sales!C106="East",Sales!H106,"")</f>
        <v/>
      </c>
      <c r="F106" t="str">
        <f>IF(Sales!C106="East",Sales!H106,"")</f>
        <v/>
      </c>
    </row>
    <row r="107" spans="5:6" x14ac:dyDescent="0.35">
      <c r="E107">
        <f>IF(Sales!C107="East",Sales!H107,"")</f>
        <v>15</v>
      </c>
      <c r="F107">
        <f>IF(Sales!C107="East",Sales!H107,"")</f>
        <v>15</v>
      </c>
    </row>
    <row r="108" spans="5:6" x14ac:dyDescent="0.35">
      <c r="E108">
        <f>IF(Sales!C108="East",Sales!H108,"")</f>
        <v>17</v>
      </c>
      <c r="F108">
        <f>IF(Sales!C108="East",Sales!H108,"")</f>
        <v>17</v>
      </c>
    </row>
    <row r="109" spans="5:6" x14ac:dyDescent="0.35">
      <c r="E109" t="str">
        <f>IF(Sales!C109="East",Sales!H109,"")</f>
        <v/>
      </c>
      <c r="F109" t="str">
        <f>IF(Sales!C109="East",Sales!H109,"")</f>
        <v/>
      </c>
    </row>
    <row r="110" spans="5:6" x14ac:dyDescent="0.35">
      <c r="E110" t="str">
        <f>IF(Sales!C110="East",Sales!H110,"")</f>
        <v/>
      </c>
      <c r="F110" t="str">
        <f>IF(Sales!C110="East",Sales!H110,"")</f>
        <v/>
      </c>
    </row>
    <row r="111" spans="5:6" x14ac:dyDescent="0.35">
      <c r="E111" t="str">
        <f>IF(Sales!C111="East",Sales!H111,"")</f>
        <v/>
      </c>
      <c r="F111" t="str">
        <f>IF(Sales!C111="East",Sales!H111,"")</f>
        <v/>
      </c>
    </row>
    <row r="112" spans="5:6" x14ac:dyDescent="0.35">
      <c r="E112" t="str">
        <f>IF(Sales!C112="East",Sales!H112,"")</f>
        <v/>
      </c>
      <c r="F112" t="str">
        <f>IF(Sales!C112="East",Sales!H112,"")</f>
        <v/>
      </c>
    </row>
    <row r="113" spans="5:6" x14ac:dyDescent="0.35">
      <c r="E113" t="str">
        <f>IF(Sales!C113="East",Sales!H113,"")</f>
        <v/>
      </c>
      <c r="F113" t="str">
        <f>IF(Sales!C113="East",Sales!H113,"")</f>
        <v/>
      </c>
    </row>
    <row r="114" spans="5:6" x14ac:dyDescent="0.35">
      <c r="E114">
        <f>IF(Sales!C114="East",Sales!H114,"")</f>
        <v>22</v>
      </c>
      <c r="F114">
        <f>IF(Sales!C114="East",Sales!H114,"")</f>
        <v>22</v>
      </c>
    </row>
    <row r="115" spans="5:6" x14ac:dyDescent="0.35">
      <c r="E115">
        <f>IF(Sales!C115="East",Sales!H115,"")</f>
        <v>7</v>
      </c>
      <c r="F115">
        <f>IF(Sales!C115="East",Sales!H115,"")</f>
        <v>7</v>
      </c>
    </row>
    <row r="116" spans="5:6" x14ac:dyDescent="0.35">
      <c r="E116" t="str">
        <f>IF(Sales!C116="East",Sales!H116,"")</f>
        <v/>
      </c>
      <c r="F116" t="str">
        <f>IF(Sales!C116="East",Sales!H116,"")</f>
        <v/>
      </c>
    </row>
    <row r="117" spans="5:6" x14ac:dyDescent="0.35">
      <c r="E117" t="str">
        <f>IF(Sales!C117="East",Sales!H117,"")</f>
        <v/>
      </c>
      <c r="F117" t="str">
        <f>IF(Sales!C117="East",Sales!H117,"")</f>
        <v/>
      </c>
    </row>
    <row r="118" spans="5:6" x14ac:dyDescent="0.35">
      <c r="E118" t="str">
        <f>IF(Sales!C118="East",Sales!H118,"")</f>
        <v/>
      </c>
      <c r="F118" t="str">
        <f>IF(Sales!C118="East",Sales!H118,"")</f>
        <v/>
      </c>
    </row>
    <row r="119" spans="5:6" x14ac:dyDescent="0.35">
      <c r="E119" t="str">
        <f>IF(Sales!C119="East",Sales!H119,"")</f>
        <v/>
      </c>
      <c r="F119" t="str">
        <f>IF(Sales!C119="East",Sales!H119,"")</f>
        <v/>
      </c>
    </row>
    <row r="120" spans="5:6" x14ac:dyDescent="0.35">
      <c r="E120" t="str">
        <f>IF(Sales!C120="East",Sales!H120,"")</f>
        <v/>
      </c>
      <c r="F120" t="str">
        <f>IF(Sales!C120="East",Sales!H120,"")</f>
        <v/>
      </c>
    </row>
    <row r="121" spans="5:6" x14ac:dyDescent="0.35">
      <c r="E121" t="str">
        <f>IF(Sales!C121="East",Sales!H121,"")</f>
        <v/>
      </c>
      <c r="F121" t="str">
        <f>IF(Sales!C121="East",Sales!H121,"")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workbookViewId="0">
      <pane ySplit="3" topLeftCell="A4" activePane="bottomLeft" state="frozen"/>
      <selection pane="bottomLeft"/>
    </sheetView>
  </sheetViews>
  <sheetFormatPr defaultRowHeight="14.5" x14ac:dyDescent="0.35"/>
  <cols>
    <col min="1" max="1" width="72" customWidth="1"/>
    <col min="2" max="2" width="52" customWidth="1"/>
    <col min="3" max="3" width="18" customWidth="1"/>
  </cols>
  <sheetData>
    <row r="1" spans="1:3" ht="23.5" x14ac:dyDescent="0.55000000000000004">
      <c r="A1" s="5" t="s">
        <v>220</v>
      </c>
    </row>
    <row r="3" spans="1:3" x14ac:dyDescent="0.35">
      <c r="A3" s="6" t="s">
        <v>175</v>
      </c>
      <c r="B3" s="6" t="s">
        <v>221</v>
      </c>
      <c r="C3" s="6" t="s">
        <v>222</v>
      </c>
    </row>
    <row r="4" spans="1:3" x14ac:dyDescent="0.35">
      <c r="A4" t="s">
        <v>223</v>
      </c>
      <c r="B4" t="s">
        <v>224</v>
      </c>
      <c r="C4" t="str">
        <f>IF(Sales!H2&gt;15,"Bulk","Normal")</f>
        <v>Normal</v>
      </c>
    </row>
    <row r="5" spans="1:3" x14ac:dyDescent="0.35">
      <c r="A5" t="s">
        <v>225</v>
      </c>
      <c r="B5" t="s">
        <v>226</v>
      </c>
      <c r="C5" t="str">
        <f>IF(AND(Sales!H2&gt;10,Sales!J2&gt;0),"Bulk Discount","")</f>
        <v/>
      </c>
    </row>
    <row r="6" spans="1:3" x14ac:dyDescent="0.35">
      <c r="A6" t="s">
        <v>227</v>
      </c>
      <c r="B6" t="s">
        <v>228</v>
      </c>
      <c r="C6" t="str">
        <f>IF(OR(Sales!C2="North",Sales!C2="South"),"N/S","E/W")</f>
        <v>N/S</v>
      </c>
    </row>
    <row r="7" spans="1:3" x14ac:dyDescent="0.35">
      <c r="A7" t="s">
        <v>229</v>
      </c>
      <c r="B7" t="s">
        <v>230</v>
      </c>
      <c r="C7" t="str">
        <f>IF(Sales!H2&gt;20,"High",IF(Sales!H2&gt;10,"Medium","Low"))</f>
        <v>Low</v>
      </c>
    </row>
    <row r="8" spans="1:3" x14ac:dyDescent="0.35">
      <c r="A8" t="s">
        <v>231</v>
      </c>
      <c r="B8" t="s">
        <v>232</v>
      </c>
      <c r="C8" t="str">
        <f>IF(Sales!H2&gt;20,"High",IF(Sales!H2&gt;10,"Medium","Low"))</f>
        <v>Low</v>
      </c>
    </row>
    <row r="9" spans="1:3" x14ac:dyDescent="0.35">
      <c r="A9" t="s">
        <v>233</v>
      </c>
      <c r="B9" t="s">
        <v>234</v>
      </c>
      <c r="C9">
        <f>IF(Sales!E2="Online",0.02,IF(Sales!E2="Retail Store",0.05,0.08))</f>
        <v>0.02</v>
      </c>
    </row>
    <row r="10" spans="1:3" x14ac:dyDescent="0.35">
      <c r="A10" t="s">
        <v>235</v>
      </c>
      <c r="B10" t="s">
        <v>236</v>
      </c>
      <c r="C10">
        <f>IFERROR(Sales!H2/Sales!I2,0)</f>
        <v>4.0000000000000001E-3</v>
      </c>
    </row>
    <row r="11" spans="1:3" x14ac:dyDescent="0.35">
      <c r="A11" t="s">
        <v>237</v>
      </c>
      <c r="B11" t="s">
        <v>238</v>
      </c>
      <c r="C11" t="b">
        <f>NOT(Sales!H2&gt;15)</f>
        <v>1</v>
      </c>
    </row>
    <row r="12" spans="1:3" x14ac:dyDescent="0.35">
      <c r="A12" t="s">
        <v>239</v>
      </c>
      <c r="B12" t="s">
        <v>240</v>
      </c>
      <c r="C12" t="b">
        <f>IF(OR(AND(Sales!C2="North",Sales!E2&lt;&gt;"Online"),AND(Sales!C2&lt;&gt;"North",Sales!E2="Online")),TRUE,FALSE)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0" customWidth="1"/>
    <col min="3" max="4" width="12" customWidth="1"/>
    <col min="5" max="5" width="16" customWidth="1"/>
    <col min="6" max="6" width="14" customWidth="1"/>
    <col min="7" max="7" width="18" customWidth="1"/>
    <col min="8" max="11" width="14" customWidth="1"/>
    <col min="12" max="12" width="12" customWidth="1"/>
  </cols>
  <sheetData>
    <row r="1" spans="1:12" x14ac:dyDescent="0.35">
      <c r="A1" s="1" t="s">
        <v>0</v>
      </c>
      <c r="B1" s="1" t="s">
        <v>7</v>
      </c>
      <c r="C1" s="1" t="s">
        <v>9</v>
      </c>
      <c r="D1" s="1" t="s">
        <v>2</v>
      </c>
      <c r="E1" s="1" t="s">
        <v>4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245</v>
      </c>
      <c r="K1" s="1" t="s">
        <v>246</v>
      </c>
      <c r="L1" s="1" t="s">
        <v>247</v>
      </c>
    </row>
    <row r="2" spans="1:12" x14ac:dyDescent="0.35">
      <c r="A2" t="str">
        <f>Sales!A2</f>
        <v>ORD-1001</v>
      </c>
      <c r="B2">
        <f>Sales!H2</f>
        <v>6</v>
      </c>
      <c r="C2" s="4">
        <f>Sales!J2</f>
        <v>0</v>
      </c>
      <c r="D2" t="str">
        <f>Sales!C2</f>
        <v>North</v>
      </c>
      <c r="E2" t="str">
        <f>Sales!E2</f>
        <v>Online</v>
      </c>
      <c r="F2" t="str">
        <f t="shared" ref="F2:F33" si="0">IF(B2&gt;15,"Bulk","Normal")</f>
        <v>Normal</v>
      </c>
      <c r="G2" t="str">
        <f t="shared" ref="G2:G33" si="1">IF(AND(B2&gt;10,C2&gt;0),"Bulk Discount","")</f>
        <v/>
      </c>
      <c r="H2" t="str">
        <f t="shared" ref="H2:H33" si="2">IF(OR(D2="North",D2="South"),"N/S","E/W")</f>
        <v>N/S</v>
      </c>
      <c r="I2" t="str">
        <f t="shared" ref="I2:I33" si="3">IF(B2&gt;20,"High",IF(B2&gt;10,"Medium","Low"))</f>
        <v>Low</v>
      </c>
      <c r="J2" s="4">
        <f t="shared" ref="J2:J33" si="4">IF(E2="Online",0.02,IF(E2="Retail Store",0.05,0.08))</f>
        <v>0.02</v>
      </c>
      <c r="K2" s="10">
        <f>IFERROR(B2/Sales!I2,0)</f>
        <v>4.0000000000000001E-3</v>
      </c>
      <c r="L2" t="b">
        <f t="shared" ref="L2:L33" si="5">IF(OR(AND(D2="North",E2&lt;&gt;"Online"),AND(D2&lt;&gt;"North",E2="Online")),TRUE,FALSE)</f>
        <v>0</v>
      </c>
    </row>
    <row r="3" spans="1:12" x14ac:dyDescent="0.35">
      <c r="A3" t="str">
        <f>Sales!A3</f>
        <v>ORD-1002</v>
      </c>
      <c r="B3">
        <f>Sales!H3</f>
        <v>25</v>
      </c>
      <c r="C3" s="4">
        <f>Sales!J3</f>
        <v>0</v>
      </c>
      <c r="D3" t="str">
        <f>Sales!C3</f>
        <v>North</v>
      </c>
      <c r="E3" t="str">
        <f>Sales!E3</f>
        <v>Retail Store</v>
      </c>
      <c r="F3" t="str">
        <f t="shared" si="0"/>
        <v>Bulk</v>
      </c>
      <c r="G3" t="str">
        <f t="shared" si="1"/>
        <v/>
      </c>
      <c r="H3" t="str">
        <f t="shared" si="2"/>
        <v>N/S</v>
      </c>
      <c r="I3" t="str">
        <f t="shared" si="3"/>
        <v>High</v>
      </c>
      <c r="J3" s="4">
        <f t="shared" si="4"/>
        <v>0.05</v>
      </c>
      <c r="K3" s="10">
        <f>IFERROR(B3/Sales!I3,0)</f>
        <v>3.5714285714285713E-3</v>
      </c>
      <c r="L3" t="b">
        <f t="shared" si="5"/>
        <v>1</v>
      </c>
    </row>
    <row r="4" spans="1:12" x14ac:dyDescent="0.35">
      <c r="A4" t="str">
        <f>Sales!A4</f>
        <v>ORD-1003</v>
      </c>
      <c r="B4">
        <f>Sales!H4</f>
        <v>24</v>
      </c>
      <c r="C4" s="4">
        <f>Sales!J4</f>
        <v>0</v>
      </c>
      <c r="D4" t="str">
        <f>Sales!C4</f>
        <v>West</v>
      </c>
      <c r="E4" t="str">
        <f>Sales!E4</f>
        <v>Retail Store</v>
      </c>
      <c r="F4" t="str">
        <f t="shared" si="0"/>
        <v>Bulk</v>
      </c>
      <c r="G4" t="str">
        <f t="shared" si="1"/>
        <v/>
      </c>
      <c r="H4" t="str">
        <f t="shared" si="2"/>
        <v>E/W</v>
      </c>
      <c r="I4" t="str">
        <f t="shared" si="3"/>
        <v>High</v>
      </c>
      <c r="J4" s="4">
        <f t="shared" si="4"/>
        <v>0.05</v>
      </c>
      <c r="K4" s="10">
        <f>IFERROR(B4/Sales!I4,0)</f>
        <v>9.6000000000000002E-2</v>
      </c>
      <c r="L4" t="b">
        <f t="shared" si="5"/>
        <v>0</v>
      </c>
    </row>
    <row r="5" spans="1:12" x14ac:dyDescent="0.35">
      <c r="A5" t="str">
        <f>Sales!A5</f>
        <v>ORD-1004</v>
      </c>
      <c r="B5">
        <f>Sales!H5</f>
        <v>5</v>
      </c>
      <c r="C5" s="4">
        <f>Sales!J5</f>
        <v>0.1</v>
      </c>
      <c r="D5" t="str">
        <f>Sales!C5</f>
        <v>South</v>
      </c>
      <c r="E5" t="str">
        <f>Sales!E5</f>
        <v>Retail Store</v>
      </c>
      <c r="F5" t="str">
        <f t="shared" si="0"/>
        <v>Normal</v>
      </c>
      <c r="G5" t="str">
        <f t="shared" si="1"/>
        <v/>
      </c>
      <c r="H5" t="str">
        <f t="shared" si="2"/>
        <v>N/S</v>
      </c>
      <c r="I5" t="str">
        <f t="shared" si="3"/>
        <v>Low</v>
      </c>
      <c r="J5" s="4">
        <f t="shared" si="4"/>
        <v>0.05</v>
      </c>
      <c r="K5" s="10">
        <f>IFERROR(B5/Sales!I5,0)</f>
        <v>2.0833333333333335E-4</v>
      </c>
      <c r="L5" t="b">
        <f t="shared" si="5"/>
        <v>0</v>
      </c>
    </row>
    <row r="6" spans="1:12" x14ac:dyDescent="0.35">
      <c r="A6" t="str">
        <f>Sales!A6</f>
        <v>ORD-1005</v>
      </c>
      <c r="B6">
        <f>Sales!H6</f>
        <v>22</v>
      </c>
      <c r="C6" s="4">
        <f>Sales!J6</f>
        <v>0</v>
      </c>
      <c r="D6" t="str">
        <f>Sales!C6</f>
        <v>East</v>
      </c>
      <c r="E6" t="str">
        <f>Sales!E6</f>
        <v>Retail Store</v>
      </c>
      <c r="F6" t="str">
        <f t="shared" si="0"/>
        <v>Bulk</v>
      </c>
      <c r="G6" t="str">
        <f t="shared" si="1"/>
        <v/>
      </c>
      <c r="H6" t="str">
        <f t="shared" si="2"/>
        <v>E/W</v>
      </c>
      <c r="I6" t="str">
        <f t="shared" si="3"/>
        <v>High</v>
      </c>
      <c r="J6" s="4">
        <f t="shared" si="4"/>
        <v>0.05</v>
      </c>
      <c r="K6" s="10">
        <f>IFERROR(B6/Sales!I6,0)</f>
        <v>2.5882352941176473E-3</v>
      </c>
      <c r="L6" t="b">
        <f t="shared" si="5"/>
        <v>0</v>
      </c>
    </row>
    <row r="7" spans="1:12" x14ac:dyDescent="0.35">
      <c r="A7" t="str">
        <f>Sales!A7</f>
        <v>ORD-1006</v>
      </c>
      <c r="B7">
        <f>Sales!H7</f>
        <v>25</v>
      </c>
      <c r="C7" s="4">
        <f>Sales!J7</f>
        <v>0</v>
      </c>
      <c r="D7" t="str">
        <f>Sales!C7</f>
        <v>West</v>
      </c>
      <c r="E7" t="str">
        <f>Sales!E7</f>
        <v>Partner</v>
      </c>
      <c r="F7" t="str">
        <f t="shared" si="0"/>
        <v>Bulk</v>
      </c>
      <c r="G7" t="str">
        <f t="shared" si="1"/>
        <v/>
      </c>
      <c r="H7" t="str">
        <f t="shared" si="2"/>
        <v>E/W</v>
      </c>
      <c r="I7" t="str">
        <f t="shared" si="3"/>
        <v>High</v>
      </c>
      <c r="J7" s="4">
        <f t="shared" si="4"/>
        <v>0.08</v>
      </c>
      <c r="K7" s="10">
        <f>IFERROR(B7/Sales!I7,0)</f>
        <v>2.9411764705882353E-3</v>
      </c>
      <c r="L7" t="b">
        <f t="shared" si="5"/>
        <v>0</v>
      </c>
    </row>
    <row r="8" spans="1:12" x14ac:dyDescent="0.35">
      <c r="A8" t="str">
        <f>Sales!A8</f>
        <v>ORD-1007</v>
      </c>
      <c r="B8">
        <f>Sales!H8</f>
        <v>15</v>
      </c>
      <c r="C8" s="4">
        <f>Sales!J8</f>
        <v>0</v>
      </c>
      <c r="D8" t="str">
        <f>Sales!C8</f>
        <v>East</v>
      </c>
      <c r="E8" t="str">
        <f>Sales!E8</f>
        <v>Retail Store</v>
      </c>
      <c r="F8" t="str">
        <f t="shared" si="0"/>
        <v>Normal</v>
      </c>
      <c r="G8" t="str">
        <f t="shared" si="1"/>
        <v/>
      </c>
      <c r="H8" t="str">
        <f t="shared" si="2"/>
        <v>E/W</v>
      </c>
      <c r="I8" t="str">
        <f t="shared" si="3"/>
        <v>Medium</v>
      </c>
      <c r="J8" s="4">
        <f t="shared" si="4"/>
        <v>0.05</v>
      </c>
      <c r="K8" s="10">
        <f>IFERROR(B8/Sales!I8,0)</f>
        <v>0.06</v>
      </c>
      <c r="L8" t="b">
        <f t="shared" si="5"/>
        <v>0</v>
      </c>
    </row>
    <row r="9" spans="1:12" x14ac:dyDescent="0.35">
      <c r="A9" t="str">
        <f>Sales!A9</f>
        <v>ORD-1008</v>
      </c>
      <c r="B9">
        <f>Sales!H9</f>
        <v>6</v>
      </c>
      <c r="C9" s="4">
        <f>Sales!J9</f>
        <v>0</v>
      </c>
      <c r="D9" t="str">
        <f>Sales!C9</f>
        <v>South</v>
      </c>
      <c r="E9" t="str">
        <f>Sales!E9</f>
        <v>Partner</v>
      </c>
      <c r="F9" t="str">
        <f t="shared" si="0"/>
        <v>Normal</v>
      </c>
      <c r="G9" t="str">
        <f t="shared" si="1"/>
        <v/>
      </c>
      <c r="H9" t="str">
        <f t="shared" si="2"/>
        <v>N/S</v>
      </c>
      <c r="I9" t="str">
        <f t="shared" si="3"/>
        <v>Low</v>
      </c>
      <c r="J9" s="4">
        <f t="shared" si="4"/>
        <v>0.08</v>
      </c>
      <c r="K9" s="10">
        <f>IFERROR(B9/Sales!I9,0)</f>
        <v>4.0000000000000001E-3</v>
      </c>
      <c r="L9" t="b">
        <f t="shared" si="5"/>
        <v>0</v>
      </c>
    </row>
    <row r="10" spans="1:12" x14ac:dyDescent="0.35">
      <c r="A10" t="str">
        <f>Sales!A10</f>
        <v>ORD-1009</v>
      </c>
      <c r="B10">
        <f>Sales!H10</f>
        <v>8</v>
      </c>
      <c r="C10" s="4">
        <f>Sales!J10</f>
        <v>0.15</v>
      </c>
      <c r="D10" t="str">
        <f>Sales!C10</f>
        <v>South</v>
      </c>
      <c r="E10" t="str">
        <f>Sales!E10</f>
        <v>Retail Store</v>
      </c>
      <c r="F10" t="str">
        <f t="shared" si="0"/>
        <v>Normal</v>
      </c>
      <c r="G10" t="str">
        <f t="shared" si="1"/>
        <v/>
      </c>
      <c r="H10" t="str">
        <f t="shared" si="2"/>
        <v>N/S</v>
      </c>
      <c r="I10" t="str">
        <f t="shared" si="3"/>
        <v>Low</v>
      </c>
      <c r="J10" s="4">
        <f t="shared" si="4"/>
        <v>0.05</v>
      </c>
      <c r="K10" s="10">
        <f>IFERROR(B10/Sales!I10,0)</f>
        <v>1.3333333333333334E-2</v>
      </c>
      <c r="L10" t="b">
        <f t="shared" si="5"/>
        <v>0</v>
      </c>
    </row>
    <row r="11" spans="1:12" x14ac:dyDescent="0.35">
      <c r="A11" t="str">
        <f>Sales!A11</f>
        <v>ORD-1010</v>
      </c>
      <c r="B11">
        <f>Sales!H11</f>
        <v>7</v>
      </c>
      <c r="C11" s="4">
        <f>Sales!J11</f>
        <v>0.05</v>
      </c>
      <c r="D11" t="str">
        <f>Sales!C11</f>
        <v>East</v>
      </c>
      <c r="E11" t="str">
        <f>Sales!E11</f>
        <v>Partner</v>
      </c>
      <c r="F11" t="str">
        <f t="shared" si="0"/>
        <v>Normal</v>
      </c>
      <c r="G11" t="str">
        <f t="shared" si="1"/>
        <v/>
      </c>
      <c r="H11" t="str">
        <f t="shared" si="2"/>
        <v>E/W</v>
      </c>
      <c r="I11" t="str">
        <f t="shared" si="3"/>
        <v>Low</v>
      </c>
      <c r="J11" s="4">
        <f t="shared" si="4"/>
        <v>0.08</v>
      </c>
      <c r="K11" s="10">
        <f>IFERROR(B11/Sales!I11,0)</f>
        <v>1E-3</v>
      </c>
      <c r="L11" t="b">
        <f t="shared" si="5"/>
        <v>0</v>
      </c>
    </row>
    <row r="12" spans="1:12" x14ac:dyDescent="0.35">
      <c r="A12" t="str">
        <f>Sales!A12</f>
        <v>ORD-1011</v>
      </c>
      <c r="B12">
        <f>Sales!H12</f>
        <v>12</v>
      </c>
      <c r="C12" s="4">
        <f>Sales!J12</f>
        <v>0.1</v>
      </c>
      <c r="D12" t="str">
        <f>Sales!C12</f>
        <v>West</v>
      </c>
      <c r="E12" t="str">
        <f>Sales!E12</f>
        <v>Online</v>
      </c>
      <c r="F12" t="str">
        <f t="shared" si="0"/>
        <v>Normal</v>
      </c>
      <c r="G12" t="str">
        <f t="shared" si="1"/>
        <v>Bulk Discount</v>
      </c>
      <c r="H12" t="str">
        <f t="shared" si="2"/>
        <v>E/W</v>
      </c>
      <c r="I12" t="str">
        <f t="shared" si="3"/>
        <v>Medium</v>
      </c>
      <c r="J12" s="4">
        <f t="shared" si="4"/>
        <v>0.02</v>
      </c>
      <c r="K12" s="10">
        <f>IFERROR(B12/Sales!I12,0)</f>
        <v>1.2631578947368421E-4</v>
      </c>
      <c r="L12" t="b">
        <f t="shared" si="5"/>
        <v>1</v>
      </c>
    </row>
    <row r="13" spans="1:12" x14ac:dyDescent="0.35">
      <c r="A13" t="str">
        <f>Sales!A13</f>
        <v>ORD-1012</v>
      </c>
      <c r="B13">
        <f>Sales!H13</f>
        <v>5</v>
      </c>
      <c r="C13" s="4">
        <f>Sales!J13</f>
        <v>0.15</v>
      </c>
      <c r="D13" t="str">
        <f>Sales!C13</f>
        <v>North</v>
      </c>
      <c r="E13" t="str">
        <f>Sales!E13</f>
        <v>Retail Store</v>
      </c>
      <c r="F13" t="str">
        <f t="shared" si="0"/>
        <v>Normal</v>
      </c>
      <c r="G13" t="str">
        <f t="shared" si="1"/>
        <v/>
      </c>
      <c r="H13" t="str">
        <f t="shared" si="2"/>
        <v>N/S</v>
      </c>
      <c r="I13" t="str">
        <f t="shared" si="3"/>
        <v>Low</v>
      </c>
      <c r="J13" s="4">
        <f t="shared" si="4"/>
        <v>0.05</v>
      </c>
      <c r="K13" s="10">
        <f>IFERROR(B13/Sales!I13,0)</f>
        <v>5.2631578947368424E-5</v>
      </c>
      <c r="L13" t="b">
        <f t="shared" si="5"/>
        <v>1</v>
      </c>
    </row>
    <row r="14" spans="1:12" x14ac:dyDescent="0.35">
      <c r="A14" t="str">
        <f>Sales!A14</f>
        <v>ORD-1013</v>
      </c>
      <c r="B14">
        <f>Sales!H14</f>
        <v>10</v>
      </c>
      <c r="C14" s="4">
        <f>Sales!J14</f>
        <v>0</v>
      </c>
      <c r="D14" t="str">
        <f>Sales!C14</f>
        <v>West</v>
      </c>
      <c r="E14" t="str">
        <f>Sales!E14</f>
        <v>Online</v>
      </c>
      <c r="F14" t="str">
        <f t="shared" si="0"/>
        <v>Normal</v>
      </c>
      <c r="G14" t="str">
        <f t="shared" si="1"/>
        <v/>
      </c>
      <c r="H14" t="str">
        <f t="shared" si="2"/>
        <v>E/W</v>
      </c>
      <c r="I14" t="str">
        <f t="shared" si="3"/>
        <v>Low</v>
      </c>
      <c r="J14" s="4">
        <f t="shared" si="4"/>
        <v>0.02</v>
      </c>
      <c r="K14" s="10">
        <f>IFERROR(B14/Sales!I14,0)</f>
        <v>4.1666666666666669E-4</v>
      </c>
      <c r="L14" t="b">
        <f t="shared" si="5"/>
        <v>1</v>
      </c>
    </row>
    <row r="15" spans="1:12" x14ac:dyDescent="0.35">
      <c r="A15" t="str">
        <f>Sales!A15</f>
        <v>ORD-1014</v>
      </c>
      <c r="B15">
        <f>Sales!H15</f>
        <v>13</v>
      </c>
      <c r="C15" s="4">
        <f>Sales!J15</f>
        <v>0.15</v>
      </c>
      <c r="D15" t="str">
        <f>Sales!C15</f>
        <v>South</v>
      </c>
      <c r="E15" t="str">
        <f>Sales!E15</f>
        <v>Partner</v>
      </c>
      <c r="F15" t="str">
        <f t="shared" si="0"/>
        <v>Normal</v>
      </c>
      <c r="G15" t="str">
        <f t="shared" si="1"/>
        <v>Bulk Discount</v>
      </c>
      <c r="H15" t="str">
        <f t="shared" si="2"/>
        <v>N/S</v>
      </c>
      <c r="I15" t="str">
        <f t="shared" si="3"/>
        <v>Medium</v>
      </c>
      <c r="J15" s="4">
        <f t="shared" si="4"/>
        <v>0.08</v>
      </c>
      <c r="K15" s="10">
        <f>IFERROR(B15/Sales!I15,0)</f>
        <v>1.5294117647058824E-3</v>
      </c>
      <c r="L15" t="b">
        <f t="shared" si="5"/>
        <v>0</v>
      </c>
    </row>
    <row r="16" spans="1:12" x14ac:dyDescent="0.35">
      <c r="A16" t="str">
        <f>Sales!A16</f>
        <v>ORD-1015</v>
      </c>
      <c r="B16">
        <f>Sales!H16</f>
        <v>4</v>
      </c>
      <c r="C16" s="4">
        <f>Sales!J16</f>
        <v>0.05</v>
      </c>
      <c r="D16" t="str">
        <f>Sales!C16</f>
        <v>North</v>
      </c>
      <c r="E16" t="str">
        <f>Sales!E16</f>
        <v>Partner</v>
      </c>
      <c r="F16" t="str">
        <f t="shared" si="0"/>
        <v>Normal</v>
      </c>
      <c r="G16" t="str">
        <f t="shared" si="1"/>
        <v/>
      </c>
      <c r="H16" t="str">
        <f t="shared" si="2"/>
        <v>N/S</v>
      </c>
      <c r="I16" t="str">
        <f t="shared" si="3"/>
        <v>Low</v>
      </c>
      <c r="J16" s="4">
        <f t="shared" si="4"/>
        <v>0.08</v>
      </c>
      <c r="K16" s="10">
        <f>IFERROR(B16/Sales!I16,0)</f>
        <v>4.2105263157894738E-5</v>
      </c>
      <c r="L16" t="b">
        <f t="shared" si="5"/>
        <v>1</v>
      </c>
    </row>
    <row r="17" spans="1:12" x14ac:dyDescent="0.35">
      <c r="A17" t="str">
        <f>Sales!A17</f>
        <v>ORD-1016</v>
      </c>
      <c r="B17">
        <f>Sales!H17</f>
        <v>25</v>
      </c>
      <c r="C17" s="4">
        <f>Sales!J17</f>
        <v>0</v>
      </c>
      <c r="D17" t="str">
        <f>Sales!C17</f>
        <v>East</v>
      </c>
      <c r="E17" t="str">
        <f>Sales!E17</f>
        <v>Online</v>
      </c>
      <c r="F17" t="str">
        <f t="shared" si="0"/>
        <v>Bulk</v>
      </c>
      <c r="G17" t="str">
        <f t="shared" si="1"/>
        <v/>
      </c>
      <c r="H17" t="str">
        <f t="shared" si="2"/>
        <v>E/W</v>
      </c>
      <c r="I17" t="str">
        <f t="shared" si="3"/>
        <v>High</v>
      </c>
      <c r="J17" s="4">
        <f t="shared" si="4"/>
        <v>0.02</v>
      </c>
      <c r="K17" s="10">
        <f>IFERROR(B17/Sales!I17,0)</f>
        <v>0.1</v>
      </c>
      <c r="L17" t="b">
        <f t="shared" si="5"/>
        <v>1</v>
      </c>
    </row>
    <row r="18" spans="1:12" x14ac:dyDescent="0.35">
      <c r="A18" t="str">
        <f>Sales!A18</f>
        <v>ORD-1017</v>
      </c>
      <c r="B18">
        <f>Sales!H18</f>
        <v>21</v>
      </c>
      <c r="C18" s="4">
        <f>Sales!J18</f>
        <v>0</v>
      </c>
      <c r="D18" t="str">
        <f>Sales!C18</f>
        <v>North</v>
      </c>
      <c r="E18" t="str">
        <f>Sales!E18</f>
        <v>Partner</v>
      </c>
      <c r="F18" t="str">
        <f t="shared" si="0"/>
        <v>Bulk</v>
      </c>
      <c r="G18" t="str">
        <f t="shared" si="1"/>
        <v/>
      </c>
      <c r="H18" t="str">
        <f t="shared" si="2"/>
        <v>N/S</v>
      </c>
      <c r="I18" t="str">
        <f t="shared" si="3"/>
        <v>High</v>
      </c>
      <c r="J18" s="4">
        <f t="shared" si="4"/>
        <v>0.08</v>
      </c>
      <c r="K18" s="10">
        <f>IFERROR(B18/Sales!I18,0)</f>
        <v>1.75E-3</v>
      </c>
      <c r="L18" t="b">
        <f t="shared" si="5"/>
        <v>1</v>
      </c>
    </row>
    <row r="19" spans="1:12" x14ac:dyDescent="0.35">
      <c r="A19" t="str">
        <f>Sales!A19</f>
        <v>ORD-1018</v>
      </c>
      <c r="B19">
        <f>Sales!H19</f>
        <v>9</v>
      </c>
      <c r="C19" s="4">
        <f>Sales!J19</f>
        <v>0</v>
      </c>
      <c r="D19" t="str">
        <f>Sales!C19</f>
        <v>South</v>
      </c>
      <c r="E19" t="str">
        <f>Sales!E19</f>
        <v>Online</v>
      </c>
      <c r="F19" t="str">
        <f t="shared" si="0"/>
        <v>Normal</v>
      </c>
      <c r="G19" t="str">
        <f t="shared" si="1"/>
        <v/>
      </c>
      <c r="H19" t="str">
        <f t="shared" si="2"/>
        <v>N/S</v>
      </c>
      <c r="I19" t="str">
        <f t="shared" si="3"/>
        <v>Low</v>
      </c>
      <c r="J19" s="4">
        <f t="shared" si="4"/>
        <v>0.02</v>
      </c>
      <c r="K19" s="10">
        <f>IFERROR(B19/Sales!I19,0)</f>
        <v>1.2857142857142856E-3</v>
      </c>
      <c r="L19" t="b">
        <f t="shared" si="5"/>
        <v>1</v>
      </c>
    </row>
    <row r="20" spans="1:12" x14ac:dyDescent="0.35">
      <c r="A20" t="str">
        <f>Sales!A20</f>
        <v>ORD-1019</v>
      </c>
      <c r="B20">
        <f>Sales!H20</f>
        <v>14</v>
      </c>
      <c r="C20" s="4">
        <f>Sales!J20</f>
        <v>0</v>
      </c>
      <c r="D20" t="str">
        <f>Sales!C20</f>
        <v>North</v>
      </c>
      <c r="E20" t="str">
        <f>Sales!E20</f>
        <v>Partner</v>
      </c>
      <c r="F20" t="str">
        <f t="shared" si="0"/>
        <v>Normal</v>
      </c>
      <c r="G20" t="str">
        <f t="shared" si="1"/>
        <v/>
      </c>
      <c r="H20" t="str">
        <f t="shared" si="2"/>
        <v>N/S</v>
      </c>
      <c r="I20" t="str">
        <f t="shared" si="3"/>
        <v>Medium</v>
      </c>
      <c r="J20" s="4">
        <f t="shared" si="4"/>
        <v>0.08</v>
      </c>
      <c r="K20" s="10">
        <f>IFERROR(B20/Sales!I20,0)</f>
        <v>1.1666666666666668E-3</v>
      </c>
      <c r="L20" t="b">
        <f t="shared" si="5"/>
        <v>1</v>
      </c>
    </row>
    <row r="21" spans="1:12" x14ac:dyDescent="0.35">
      <c r="A21" t="str">
        <f>Sales!A21</f>
        <v>ORD-1020</v>
      </c>
      <c r="B21">
        <f>Sales!H21</f>
        <v>25</v>
      </c>
      <c r="C21" s="4">
        <f>Sales!J21</f>
        <v>0</v>
      </c>
      <c r="D21" t="str">
        <f>Sales!C21</f>
        <v>North</v>
      </c>
      <c r="E21" t="str">
        <f>Sales!E21</f>
        <v>Online</v>
      </c>
      <c r="F21" t="str">
        <f t="shared" si="0"/>
        <v>Bulk</v>
      </c>
      <c r="G21" t="str">
        <f t="shared" si="1"/>
        <v/>
      </c>
      <c r="H21" t="str">
        <f t="shared" si="2"/>
        <v>N/S</v>
      </c>
      <c r="I21" t="str">
        <f t="shared" si="3"/>
        <v>High</v>
      </c>
      <c r="J21" s="4">
        <f t="shared" si="4"/>
        <v>0.02</v>
      </c>
      <c r="K21" s="10">
        <f>IFERROR(B21/Sales!I21,0)</f>
        <v>1.0416666666666667E-3</v>
      </c>
      <c r="L21" t="b">
        <f t="shared" si="5"/>
        <v>0</v>
      </c>
    </row>
    <row r="22" spans="1:12" x14ac:dyDescent="0.35">
      <c r="A22" t="str">
        <f>Sales!A22</f>
        <v>ORD-1021</v>
      </c>
      <c r="B22">
        <f>Sales!H22</f>
        <v>19</v>
      </c>
      <c r="C22" s="4">
        <f>Sales!J22</f>
        <v>0.15</v>
      </c>
      <c r="D22" t="str">
        <f>Sales!C22</f>
        <v>North</v>
      </c>
      <c r="E22" t="str">
        <f>Sales!E22</f>
        <v>Partner</v>
      </c>
      <c r="F22" t="str">
        <f t="shared" si="0"/>
        <v>Bulk</v>
      </c>
      <c r="G22" t="str">
        <f t="shared" si="1"/>
        <v>Bulk Discount</v>
      </c>
      <c r="H22" t="str">
        <f t="shared" si="2"/>
        <v>N/S</v>
      </c>
      <c r="I22" t="str">
        <f t="shared" si="3"/>
        <v>Medium</v>
      </c>
      <c r="J22" s="4">
        <f t="shared" si="4"/>
        <v>0.08</v>
      </c>
      <c r="K22" s="10">
        <f>IFERROR(B22/Sales!I22,0)</f>
        <v>2.7142857142857142E-3</v>
      </c>
      <c r="L22" t="b">
        <f t="shared" si="5"/>
        <v>1</v>
      </c>
    </row>
    <row r="23" spans="1:12" x14ac:dyDescent="0.35">
      <c r="A23" t="str">
        <f>Sales!A23</f>
        <v>ORD-1022</v>
      </c>
      <c r="B23">
        <f>Sales!H23</f>
        <v>24</v>
      </c>
      <c r="C23" s="4">
        <f>Sales!J23</f>
        <v>0</v>
      </c>
      <c r="D23" t="str">
        <f>Sales!C23</f>
        <v>South</v>
      </c>
      <c r="E23" t="str">
        <f>Sales!E23</f>
        <v>Online</v>
      </c>
      <c r="F23" t="str">
        <f t="shared" si="0"/>
        <v>Bulk</v>
      </c>
      <c r="G23" t="str">
        <f t="shared" si="1"/>
        <v/>
      </c>
      <c r="H23" t="str">
        <f t="shared" si="2"/>
        <v>N/S</v>
      </c>
      <c r="I23" t="str">
        <f t="shared" si="3"/>
        <v>High</v>
      </c>
      <c r="J23" s="4">
        <f t="shared" si="4"/>
        <v>0.02</v>
      </c>
      <c r="K23" s="10">
        <f>IFERROR(B23/Sales!I23,0)</f>
        <v>0.04</v>
      </c>
      <c r="L23" t="b">
        <f t="shared" si="5"/>
        <v>1</v>
      </c>
    </row>
    <row r="24" spans="1:12" x14ac:dyDescent="0.35">
      <c r="A24" t="str">
        <f>Sales!A24</f>
        <v>ORD-1023</v>
      </c>
      <c r="B24">
        <f>Sales!H24</f>
        <v>8</v>
      </c>
      <c r="C24" s="4">
        <f>Sales!J24</f>
        <v>0</v>
      </c>
      <c r="D24" t="str">
        <f>Sales!C24</f>
        <v>East</v>
      </c>
      <c r="E24" t="str">
        <f>Sales!E24</f>
        <v>Online</v>
      </c>
      <c r="F24" t="str">
        <f t="shared" si="0"/>
        <v>Normal</v>
      </c>
      <c r="G24" t="str">
        <f t="shared" si="1"/>
        <v/>
      </c>
      <c r="H24" t="str">
        <f t="shared" si="2"/>
        <v>E/W</v>
      </c>
      <c r="I24" t="str">
        <f t="shared" si="3"/>
        <v>Low</v>
      </c>
      <c r="J24" s="4">
        <f t="shared" si="4"/>
        <v>0.02</v>
      </c>
      <c r="K24" s="10">
        <f>IFERROR(B24/Sales!I24,0)</f>
        <v>6.6666666666666664E-4</v>
      </c>
      <c r="L24" t="b">
        <f t="shared" si="5"/>
        <v>1</v>
      </c>
    </row>
    <row r="25" spans="1:12" x14ac:dyDescent="0.35">
      <c r="A25" t="str">
        <f>Sales!A25</f>
        <v>ORD-1024</v>
      </c>
      <c r="B25">
        <f>Sales!H25</f>
        <v>12</v>
      </c>
      <c r="C25" s="4">
        <f>Sales!J25</f>
        <v>0.1</v>
      </c>
      <c r="D25" t="str">
        <f>Sales!C25</f>
        <v>West</v>
      </c>
      <c r="E25" t="str">
        <f>Sales!E25</f>
        <v>Retail Store</v>
      </c>
      <c r="F25" t="str">
        <f t="shared" si="0"/>
        <v>Normal</v>
      </c>
      <c r="G25" t="str">
        <f t="shared" si="1"/>
        <v>Bulk Discount</v>
      </c>
      <c r="H25" t="str">
        <f t="shared" si="2"/>
        <v>E/W</v>
      </c>
      <c r="I25" t="str">
        <f t="shared" si="3"/>
        <v>Medium</v>
      </c>
      <c r="J25" s="4">
        <f t="shared" si="4"/>
        <v>0.05</v>
      </c>
      <c r="K25" s="10">
        <f>IFERROR(B25/Sales!I25,0)</f>
        <v>1E-3</v>
      </c>
      <c r="L25" t="b">
        <f t="shared" si="5"/>
        <v>0</v>
      </c>
    </row>
    <row r="26" spans="1:12" x14ac:dyDescent="0.35">
      <c r="A26" t="str">
        <f>Sales!A26</f>
        <v>ORD-1025</v>
      </c>
      <c r="B26">
        <f>Sales!H26</f>
        <v>1</v>
      </c>
      <c r="C26" s="4">
        <f>Sales!J26</f>
        <v>0</v>
      </c>
      <c r="D26" t="str">
        <f>Sales!C26</f>
        <v>South</v>
      </c>
      <c r="E26" t="str">
        <f>Sales!E26</f>
        <v>Retail Store</v>
      </c>
      <c r="F26" t="str">
        <f t="shared" si="0"/>
        <v>Normal</v>
      </c>
      <c r="G26" t="str">
        <f t="shared" si="1"/>
        <v/>
      </c>
      <c r="H26" t="str">
        <f t="shared" si="2"/>
        <v>N/S</v>
      </c>
      <c r="I26" t="str">
        <f t="shared" si="3"/>
        <v>Low</v>
      </c>
      <c r="J26" s="4">
        <f t="shared" si="4"/>
        <v>0.05</v>
      </c>
      <c r="K26" s="10">
        <f>IFERROR(B26/Sales!I26,0)</f>
        <v>1.1764705882352942E-4</v>
      </c>
      <c r="L26" t="b">
        <f t="shared" si="5"/>
        <v>0</v>
      </c>
    </row>
    <row r="27" spans="1:12" x14ac:dyDescent="0.35">
      <c r="A27" t="str">
        <f>Sales!A27</f>
        <v>ORD-1026</v>
      </c>
      <c r="B27">
        <f>Sales!H27</f>
        <v>9</v>
      </c>
      <c r="C27" s="4">
        <f>Sales!J27</f>
        <v>0</v>
      </c>
      <c r="D27" t="str">
        <f>Sales!C27</f>
        <v>South</v>
      </c>
      <c r="E27" t="str">
        <f>Sales!E27</f>
        <v>Retail Store</v>
      </c>
      <c r="F27" t="str">
        <f t="shared" si="0"/>
        <v>Normal</v>
      </c>
      <c r="G27" t="str">
        <f t="shared" si="1"/>
        <v/>
      </c>
      <c r="H27" t="str">
        <f t="shared" si="2"/>
        <v>N/S</v>
      </c>
      <c r="I27" t="str">
        <f t="shared" si="3"/>
        <v>Low</v>
      </c>
      <c r="J27" s="4">
        <f t="shared" si="4"/>
        <v>0.05</v>
      </c>
      <c r="K27" s="10">
        <f>IFERROR(B27/Sales!I27,0)</f>
        <v>9.4736842105263162E-5</v>
      </c>
      <c r="L27" t="b">
        <f t="shared" si="5"/>
        <v>0</v>
      </c>
    </row>
    <row r="28" spans="1:12" x14ac:dyDescent="0.35">
      <c r="A28" t="str">
        <f>Sales!A28</f>
        <v>ORD-1027</v>
      </c>
      <c r="B28">
        <f>Sales!H28</f>
        <v>24</v>
      </c>
      <c r="C28" s="4">
        <f>Sales!J28</f>
        <v>0</v>
      </c>
      <c r="D28" t="str">
        <f>Sales!C28</f>
        <v>South</v>
      </c>
      <c r="E28" t="str">
        <f>Sales!E28</f>
        <v>Retail Store</v>
      </c>
      <c r="F28" t="str">
        <f t="shared" si="0"/>
        <v>Bulk</v>
      </c>
      <c r="G28" t="str">
        <f t="shared" si="1"/>
        <v/>
      </c>
      <c r="H28" t="str">
        <f t="shared" si="2"/>
        <v>N/S</v>
      </c>
      <c r="I28" t="str">
        <f t="shared" si="3"/>
        <v>High</v>
      </c>
      <c r="J28" s="4">
        <f t="shared" si="4"/>
        <v>0.05</v>
      </c>
      <c r="K28" s="10">
        <f>IFERROR(B28/Sales!I28,0)</f>
        <v>3.4285714285714284E-3</v>
      </c>
      <c r="L28" t="b">
        <f t="shared" si="5"/>
        <v>0</v>
      </c>
    </row>
    <row r="29" spans="1:12" x14ac:dyDescent="0.35">
      <c r="A29" t="str">
        <f>Sales!A29</f>
        <v>ORD-1028</v>
      </c>
      <c r="B29">
        <f>Sales!H29</f>
        <v>1</v>
      </c>
      <c r="C29" s="4">
        <f>Sales!J29</f>
        <v>0.05</v>
      </c>
      <c r="D29" t="str">
        <f>Sales!C29</f>
        <v>North</v>
      </c>
      <c r="E29" t="str">
        <f>Sales!E29</f>
        <v>Online</v>
      </c>
      <c r="F29" t="str">
        <f t="shared" si="0"/>
        <v>Normal</v>
      </c>
      <c r="G29" t="str">
        <f t="shared" si="1"/>
        <v/>
      </c>
      <c r="H29" t="str">
        <f t="shared" si="2"/>
        <v>N/S</v>
      </c>
      <c r="I29" t="str">
        <f t="shared" si="3"/>
        <v>Low</v>
      </c>
      <c r="J29" s="4">
        <f t="shared" si="4"/>
        <v>0.02</v>
      </c>
      <c r="K29" s="10">
        <f>IFERROR(B29/Sales!I29,0)</f>
        <v>6.6666666666666664E-4</v>
      </c>
      <c r="L29" t="b">
        <f t="shared" si="5"/>
        <v>0</v>
      </c>
    </row>
    <row r="30" spans="1:12" x14ac:dyDescent="0.35">
      <c r="A30" t="str">
        <f>Sales!A30</f>
        <v>ORD-1029</v>
      </c>
      <c r="B30">
        <f>Sales!H30</f>
        <v>14</v>
      </c>
      <c r="C30" s="4">
        <f>Sales!J30</f>
        <v>0</v>
      </c>
      <c r="D30" t="str">
        <f>Sales!C30</f>
        <v>South</v>
      </c>
      <c r="E30" t="str">
        <f>Sales!E30</f>
        <v>Partner</v>
      </c>
      <c r="F30" t="str">
        <f t="shared" si="0"/>
        <v>Normal</v>
      </c>
      <c r="G30" t="str">
        <f t="shared" si="1"/>
        <v/>
      </c>
      <c r="H30" t="str">
        <f t="shared" si="2"/>
        <v>N/S</v>
      </c>
      <c r="I30" t="str">
        <f t="shared" si="3"/>
        <v>Medium</v>
      </c>
      <c r="J30" s="4">
        <f t="shared" si="4"/>
        <v>0.08</v>
      </c>
      <c r="K30" s="10">
        <f>IFERROR(B30/Sales!I30,0)</f>
        <v>5.6000000000000001E-2</v>
      </c>
      <c r="L30" t="b">
        <f t="shared" si="5"/>
        <v>0</v>
      </c>
    </row>
    <row r="31" spans="1:12" x14ac:dyDescent="0.35">
      <c r="A31" t="str">
        <f>Sales!A31</f>
        <v>ORD-1030</v>
      </c>
      <c r="B31">
        <f>Sales!H31</f>
        <v>14</v>
      </c>
      <c r="C31" s="4">
        <f>Sales!J31</f>
        <v>0</v>
      </c>
      <c r="D31" t="str">
        <f>Sales!C31</f>
        <v>South</v>
      </c>
      <c r="E31" t="str">
        <f>Sales!E31</f>
        <v>Online</v>
      </c>
      <c r="F31" t="str">
        <f t="shared" si="0"/>
        <v>Normal</v>
      </c>
      <c r="G31" t="str">
        <f t="shared" si="1"/>
        <v/>
      </c>
      <c r="H31" t="str">
        <f t="shared" si="2"/>
        <v>N/S</v>
      </c>
      <c r="I31" t="str">
        <f t="shared" si="3"/>
        <v>Medium</v>
      </c>
      <c r="J31" s="4">
        <f t="shared" si="4"/>
        <v>0.02</v>
      </c>
      <c r="K31" s="10">
        <f>IFERROR(B31/Sales!I31,0)</f>
        <v>2E-3</v>
      </c>
      <c r="L31" t="b">
        <f t="shared" si="5"/>
        <v>1</v>
      </c>
    </row>
    <row r="32" spans="1:12" x14ac:dyDescent="0.35">
      <c r="A32" t="str">
        <f>Sales!A32</f>
        <v>ORD-1031</v>
      </c>
      <c r="B32">
        <f>Sales!H32</f>
        <v>12</v>
      </c>
      <c r="C32" s="4">
        <f>Sales!J32</f>
        <v>0</v>
      </c>
      <c r="D32" t="str">
        <f>Sales!C32</f>
        <v>West</v>
      </c>
      <c r="E32" t="str">
        <f>Sales!E32</f>
        <v>Partner</v>
      </c>
      <c r="F32" t="str">
        <f t="shared" si="0"/>
        <v>Normal</v>
      </c>
      <c r="G32" t="str">
        <f t="shared" si="1"/>
        <v/>
      </c>
      <c r="H32" t="str">
        <f t="shared" si="2"/>
        <v>E/W</v>
      </c>
      <c r="I32" t="str">
        <f t="shared" si="3"/>
        <v>Medium</v>
      </c>
      <c r="J32" s="4">
        <f t="shared" si="4"/>
        <v>0.08</v>
      </c>
      <c r="K32" s="10">
        <f>IFERROR(B32/Sales!I32,0)</f>
        <v>3.4285714285714287E-2</v>
      </c>
      <c r="L32" t="b">
        <f t="shared" si="5"/>
        <v>0</v>
      </c>
    </row>
    <row r="33" spans="1:12" x14ac:dyDescent="0.35">
      <c r="A33" t="str">
        <f>Sales!A33</f>
        <v>ORD-1032</v>
      </c>
      <c r="B33">
        <f>Sales!H33</f>
        <v>5</v>
      </c>
      <c r="C33" s="4">
        <f>Sales!J33</f>
        <v>0.1</v>
      </c>
      <c r="D33" t="str">
        <f>Sales!C33</f>
        <v>West</v>
      </c>
      <c r="E33" t="str">
        <f>Sales!E33</f>
        <v>Online</v>
      </c>
      <c r="F33" t="str">
        <f t="shared" si="0"/>
        <v>Normal</v>
      </c>
      <c r="G33" t="str">
        <f t="shared" si="1"/>
        <v/>
      </c>
      <c r="H33" t="str">
        <f t="shared" si="2"/>
        <v>E/W</v>
      </c>
      <c r="I33" t="str">
        <f t="shared" si="3"/>
        <v>Low</v>
      </c>
      <c r="J33" s="4">
        <f t="shared" si="4"/>
        <v>0.02</v>
      </c>
      <c r="K33" s="10">
        <f>IFERROR(B33/Sales!I33,0)</f>
        <v>7.1428571428571429E-4</v>
      </c>
      <c r="L33" t="b">
        <f t="shared" si="5"/>
        <v>1</v>
      </c>
    </row>
    <row r="34" spans="1:12" x14ac:dyDescent="0.35">
      <c r="A34" t="str">
        <f>Sales!A34</f>
        <v>ORD-1033</v>
      </c>
      <c r="B34">
        <f>Sales!H34</f>
        <v>3</v>
      </c>
      <c r="C34" s="4">
        <f>Sales!J34</f>
        <v>0.1</v>
      </c>
      <c r="D34" t="str">
        <f>Sales!C34</f>
        <v>South</v>
      </c>
      <c r="E34" t="str">
        <f>Sales!E34</f>
        <v>Partner</v>
      </c>
      <c r="F34" t="str">
        <f t="shared" ref="F34:F65" si="6">IF(B34&gt;15,"Bulk","Normal")</f>
        <v>Normal</v>
      </c>
      <c r="G34" t="str">
        <f t="shared" ref="G34:G65" si="7">IF(AND(B34&gt;10,C34&gt;0),"Bulk Discount","")</f>
        <v/>
      </c>
      <c r="H34" t="str">
        <f t="shared" ref="H34:H65" si="8">IF(OR(D34="North",D34="South"),"N/S","E/W")</f>
        <v>N/S</v>
      </c>
      <c r="I34" t="str">
        <f t="shared" ref="I34:I65" si="9">IF(B34&gt;20,"High",IF(B34&gt;10,"Medium","Low"))</f>
        <v>Low</v>
      </c>
      <c r="J34" s="4">
        <f t="shared" ref="J34:J65" si="10">IF(E34="Online",0.02,IF(E34="Retail Store",0.05,0.08))</f>
        <v>0.08</v>
      </c>
      <c r="K34" s="10">
        <f>IFERROR(B34/Sales!I34,0)</f>
        <v>1.25E-4</v>
      </c>
      <c r="L34" t="b">
        <f t="shared" ref="L34:L65" si="11">IF(OR(AND(D34="North",E34&lt;&gt;"Online"),AND(D34&lt;&gt;"North",E34="Online")),TRUE,FALSE)</f>
        <v>0</v>
      </c>
    </row>
    <row r="35" spans="1:12" x14ac:dyDescent="0.35">
      <c r="A35" t="str">
        <f>Sales!A35</f>
        <v>ORD-1034</v>
      </c>
      <c r="B35">
        <f>Sales!H35</f>
        <v>19</v>
      </c>
      <c r="C35" s="4">
        <f>Sales!J35</f>
        <v>0.05</v>
      </c>
      <c r="D35" t="str">
        <f>Sales!C35</f>
        <v>East</v>
      </c>
      <c r="E35" t="str">
        <f>Sales!E35</f>
        <v>Partner</v>
      </c>
      <c r="F35" t="str">
        <f t="shared" si="6"/>
        <v>Bulk</v>
      </c>
      <c r="G35" t="str">
        <f t="shared" si="7"/>
        <v>Bulk Discount</v>
      </c>
      <c r="H35" t="str">
        <f t="shared" si="8"/>
        <v>E/W</v>
      </c>
      <c r="I35" t="str">
        <f t="shared" si="9"/>
        <v>Medium</v>
      </c>
      <c r="J35" s="4">
        <f t="shared" si="10"/>
        <v>0.08</v>
      </c>
      <c r="K35" s="10">
        <f>IFERROR(B35/Sales!I35,0)</f>
        <v>3.1666666666666669E-2</v>
      </c>
      <c r="L35" t="b">
        <f t="shared" si="11"/>
        <v>0</v>
      </c>
    </row>
    <row r="36" spans="1:12" x14ac:dyDescent="0.35">
      <c r="A36" t="str">
        <f>Sales!A36</f>
        <v>ORD-1035</v>
      </c>
      <c r="B36">
        <f>Sales!H36</f>
        <v>2</v>
      </c>
      <c r="C36" s="4">
        <f>Sales!J36</f>
        <v>0.05</v>
      </c>
      <c r="D36" t="str">
        <f>Sales!C36</f>
        <v>East</v>
      </c>
      <c r="E36" t="str">
        <f>Sales!E36</f>
        <v>Retail Store</v>
      </c>
      <c r="F36" t="str">
        <f t="shared" si="6"/>
        <v>Normal</v>
      </c>
      <c r="G36" t="str">
        <f t="shared" si="7"/>
        <v/>
      </c>
      <c r="H36" t="str">
        <f t="shared" si="8"/>
        <v>E/W</v>
      </c>
      <c r="I36" t="str">
        <f t="shared" si="9"/>
        <v>Low</v>
      </c>
      <c r="J36" s="4">
        <f t="shared" si="10"/>
        <v>0.05</v>
      </c>
      <c r="K36" s="10">
        <f>IFERROR(B36/Sales!I36,0)</f>
        <v>1.6666666666666666E-4</v>
      </c>
      <c r="L36" t="b">
        <f t="shared" si="11"/>
        <v>0</v>
      </c>
    </row>
    <row r="37" spans="1:12" x14ac:dyDescent="0.35">
      <c r="A37" t="str">
        <f>Sales!A37</f>
        <v>ORD-1036</v>
      </c>
      <c r="B37">
        <f>Sales!H37</f>
        <v>10</v>
      </c>
      <c r="C37" s="4">
        <f>Sales!J37</f>
        <v>0.1</v>
      </c>
      <c r="D37" t="str">
        <f>Sales!C37</f>
        <v>South</v>
      </c>
      <c r="E37" t="str">
        <f>Sales!E37</f>
        <v>Partner</v>
      </c>
      <c r="F37" t="str">
        <f t="shared" si="6"/>
        <v>Normal</v>
      </c>
      <c r="G37" t="str">
        <f t="shared" si="7"/>
        <v/>
      </c>
      <c r="H37" t="str">
        <f t="shared" si="8"/>
        <v>N/S</v>
      </c>
      <c r="I37" t="str">
        <f t="shared" si="9"/>
        <v>Low</v>
      </c>
      <c r="J37" s="4">
        <f t="shared" si="10"/>
        <v>0.08</v>
      </c>
      <c r="K37" s="10">
        <f>IFERROR(B37/Sales!I37,0)</f>
        <v>6.6666666666666671E-3</v>
      </c>
      <c r="L37" t="b">
        <f t="shared" si="11"/>
        <v>0</v>
      </c>
    </row>
    <row r="38" spans="1:12" x14ac:dyDescent="0.35">
      <c r="A38" t="str">
        <f>Sales!A38</f>
        <v>ORD-1037</v>
      </c>
      <c r="B38">
        <f>Sales!H38</f>
        <v>6</v>
      </c>
      <c r="C38" s="4">
        <f>Sales!J38</f>
        <v>0</v>
      </c>
      <c r="D38" t="str">
        <f>Sales!C38</f>
        <v>West</v>
      </c>
      <c r="E38" t="str">
        <f>Sales!E38</f>
        <v>Online</v>
      </c>
      <c r="F38" t="str">
        <f t="shared" si="6"/>
        <v>Normal</v>
      </c>
      <c r="G38" t="str">
        <f t="shared" si="7"/>
        <v/>
      </c>
      <c r="H38" t="str">
        <f t="shared" si="8"/>
        <v>E/W</v>
      </c>
      <c r="I38" t="str">
        <f t="shared" si="9"/>
        <v>Low</v>
      </c>
      <c r="J38" s="4">
        <f t="shared" si="10"/>
        <v>0.02</v>
      </c>
      <c r="K38" s="10">
        <f>IFERROR(B38/Sales!I38,0)</f>
        <v>6.3157894736842103E-5</v>
      </c>
      <c r="L38" t="b">
        <f t="shared" si="11"/>
        <v>1</v>
      </c>
    </row>
    <row r="39" spans="1:12" x14ac:dyDescent="0.35">
      <c r="A39" t="str">
        <f>Sales!A39</f>
        <v>ORD-1038</v>
      </c>
      <c r="B39">
        <f>Sales!H39</f>
        <v>7</v>
      </c>
      <c r="C39" s="4">
        <f>Sales!J39</f>
        <v>0.05</v>
      </c>
      <c r="D39" t="str">
        <f>Sales!C39</f>
        <v>North</v>
      </c>
      <c r="E39" t="str">
        <f>Sales!E39</f>
        <v>Online</v>
      </c>
      <c r="F39" t="str">
        <f t="shared" si="6"/>
        <v>Normal</v>
      </c>
      <c r="G39" t="str">
        <f t="shared" si="7"/>
        <v/>
      </c>
      <c r="H39" t="str">
        <f t="shared" si="8"/>
        <v>N/S</v>
      </c>
      <c r="I39" t="str">
        <f t="shared" si="9"/>
        <v>Low</v>
      </c>
      <c r="J39" s="4">
        <f t="shared" si="10"/>
        <v>0.02</v>
      </c>
      <c r="K39" s="10">
        <f>IFERROR(B39/Sales!I39,0)</f>
        <v>1.1666666666666667E-2</v>
      </c>
      <c r="L39" t="b">
        <f t="shared" si="11"/>
        <v>0</v>
      </c>
    </row>
    <row r="40" spans="1:12" x14ac:dyDescent="0.35">
      <c r="A40" t="str">
        <f>Sales!A40</f>
        <v>ORD-1039</v>
      </c>
      <c r="B40">
        <f>Sales!H40</f>
        <v>16</v>
      </c>
      <c r="C40" s="4">
        <f>Sales!J40</f>
        <v>0.15</v>
      </c>
      <c r="D40" t="str">
        <f>Sales!C40</f>
        <v>East</v>
      </c>
      <c r="E40" t="str">
        <f>Sales!E40</f>
        <v>Partner</v>
      </c>
      <c r="F40" t="str">
        <f t="shared" si="6"/>
        <v>Bulk</v>
      </c>
      <c r="G40" t="str">
        <f t="shared" si="7"/>
        <v>Bulk Discount</v>
      </c>
      <c r="H40" t="str">
        <f t="shared" si="8"/>
        <v>E/W</v>
      </c>
      <c r="I40" t="str">
        <f t="shared" si="9"/>
        <v>Medium</v>
      </c>
      <c r="J40" s="4">
        <f t="shared" si="10"/>
        <v>0.08</v>
      </c>
      <c r="K40" s="10">
        <f>IFERROR(B40/Sales!I40,0)</f>
        <v>1.8823529411764706E-3</v>
      </c>
      <c r="L40" t="b">
        <f t="shared" si="11"/>
        <v>0</v>
      </c>
    </row>
    <row r="41" spans="1:12" x14ac:dyDescent="0.35">
      <c r="A41" t="str">
        <f>Sales!A41</f>
        <v>ORD-1040</v>
      </c>
      <c r="B41">
        <f>Sales!H41</f>
        <v>13</v>
      </c>
      <c r="C41" s="4">
        <f>Sales!J41</f>
        <v>0</v>
      </c>
      <c r="D41" t="str">
        <f>Sales!C41</f>
        <v>North</v>
      </c>
      <c r="E41" t="str">
        <f>Sales!E41</f>
        <v>Online</v>
      </c>
      <c r="F41" t="str">
        <f t="shared" si="6"/>
        <v>Normal</v>
      </c>
      <c r="G41" t="str">
        <f t="shared" si="7"/>
        <v/>
      </c>
      <c r="H41" t="str">
        <f t="shared" si="8"/>
        <v>N/S</v>
      </c>
      <c r="I41" t="str">
        <f t="shared" si="9"/>
        <v>Medium</v>
      </c>
      <c r="J41" s="4">
        <f t="shared" si="10"/>
        <v>0.02</v>
      </c>
      <c r="K41" s="10">
        <f>IFERROR(B41/Sales!I41,0)</f>
        <v>1.5294117647058824E-3</v>
      </c>
      <c r="L41" t="b">
        <f t="shared" si="11"/>
        <v>0</v>
      </c>
    </row>
    <row r="42" spans="1:12" x14ac:dyDescent="0.35">
      <c r="A42" t="str">
        <f>Sales!A42</f>
        <v>ORD-1041</v>
      </c>
      <c r="B42">
        <f>Sales!H42</f>
        <v>16</v>
      </c>
      <c r="C42" s="4">
        <f>Sales!J42</f>
        <v>0.1</v>
      </c>
      <c r="D42" t="str">
        <f>Sales!C42</f>
        <v>West</v>
      </c>
      <c r="E42" t="str">
        <f>Sales!E42</f>
        <v>Partner</v>
      </c>
      <c r="F42" t="str">
        <f t="shared" si="6"/>
        <v>Bulk</v>
      </c>
      <c r="G42" t="str">
        <f t="shared" si="7"/>
        <v>Bulk Discount</v>
      </c>
      <c r="H42" t="str">
        <f t="shared" si="8"/>
        <v>E/W</v>
      </c>
      <c r="I42" t="str">
        <f t="shared" si="9"/>
        <v>Medium</v>
      </c>
      <c r="J42" s="4">
        <f t="shared" si="10"/>
        <v>0.08</v>
      </c>
      <c r="K42" s="10">
        <f>IFERROR(B42/Sales!I42,0)</f>
        <v>2.6666666666666668E-2</v>
      </c>
      <c r="L42" t="b">
        <f t="shared" si="11"/>
        <v>0</v>
      </c>
    </row>
    <row r="43" spans="1:12" x14ac:dyDescent="0.35">
      <c r="A43" t="str">
        <f>Sales!A43</f>
        <v>ORD-1042</v>
      </c>
      <c r="B43">
        <f>Sales!H43</f>
        <v>12</v>
      </c>
      <c r="C43" s="4">
        <f>Sales!J43</f>
        <v>0</v>
      </c>
      <c r="D43" t="str">
        <f>Sales!C43</f>
        <v>West</v>
      </c>
      <c r="E43" t="str">
        <f>Sales!E43</f>
        <v>Online</v>
      </c>
      <c r="F43" t="str">
        <f t="shared" si="6"/>
        <v>Normal</v>
      </c>
      <c r="G43" t="str">
        <f t="shared" si="7"/>
        <v/>
      </c>
      <c r="H43" t="str">
        <f t="shared" si="8"/>
        <v>E/W</v>
      </c>
      <c r="I43" t="str">
        <f t="shared" si="9"/>
        <v>Medium</v>
      </c>
      <c r="J43" s="4">
        <f t="shared" si="10"/>
        <v>0.02</v>
      </c>
      <c r="K43" s="10">
        <f>IFERROR(B43/Sales!I43,0)</f>
        <v>1E-3</v>
      </c>
      <c r="L43" t="b">
        <f t="shared" si="11"/>
        <v>1</v>
      </c>
    </row>
    <row r="44" spans="1:12" x14ac:dyDescent="0.35">
      <c r="A44" t="str">
        <f>Sales!A44</f>
        <v>ORD-1043</v>
      </c>
      <c r="B44">
        <f>Sales!H44</f>
        <v>11</v>
      </c>
      <c r="C44" s="4">
        <f>Sales!J44</f>
        <v>0</v>
      </c>
      <c r="D44" t="str">
        <f>Sales!C44</f>
        <v>South</v>
      </c>
      <c r="E44" t="str">
        <f>Sales!E44</f>
        <v>Online</v>
      </c>
      <c r="F44" t="str">
        <f t="shared" si="6"/>
        <v>Normal</v>
      </c>
      <c r="G44" t="str">
        <f t="shared" si="7"/>
        <v/>
      </c>
      <c r="H44" t="str">
        <f t="shared" si="8"/>
        <v>N/S</v>
      </c>
      <c r="I44" t="str">
        <f t="shared" si="9"/>
        <v>Medium</v>
      </c>
      <c r="J44" s="4">
        <f t="shared" si="10"/>
        <v>0.02</v>
      </c>
      <c r="K44" s="10">
        <f>IFERROR(B44/Sales!I44,0)</f>
        <v>9.1666666666666665E-4</v>
      </c>
      <c r="L44" t="b">
        <f t="shared" si="11"/>
        <v>1</v>
      </c>
    </row>
    <row r="45" spans="1:12" x14ac:dyDescent="0.35">
      <c r="A45" t="str">
        <f>Sales!A45</f>
        <v>ORD-1044</v>
      </c>
      <c r="B45">
        <f>Sales!H45</f>
        <v>8</v>
      </c>
      <c r="C45" s="4">
        <f>Sales!J45</f>
        <v>0.05</v>
      </c>
      <c r="D45" t="str">
        <f>Sales!C45</f>
        <v>North</v>
      </c>
      <c r="E45" t="str">
        <f>Sales!E45</f>
        <v>Online</v>
      </c>
      <c r="F45" t="str">
        <f t="shared" si="6"/>
        <v>Normal</v>
      </c>
      <c r="G45" t="str">
        <f t="shared" si="7"/>
        <v/>
      </c>
      <c r="H45" t="str">
        <f t="shared" si="8"/>
        <v>N/S</v>
      </c>
      <c r="I45" t="str">
        <f t="shared" si="9"/>
        <v>Low</v>
      </c>
      <c r="J45" s="4">
        <f t="shared" si="10"/>
        <v>0.02</v>
      </c>
      <c r="K45" s="10">
        <f>IFERROR(B45/Sales!I45,0)</f>
        <v>1.3333333333333334E-2</v>
      </c>
      <c r="L45" t="b">
        <f t="shared" si="11"/>
        <v>0</v>
      </c>
    </row>
    <row r="46" spans="1:12" x14ac:dyDescent="0.35">
      <c r="A46" t="str">
        <f>Sales!A46</f>
        <v>ORD-1045</v>
      </c>
      <c r="B46">
        <f>Sales!H46</f>
        <v>11</v>
      </c>
      <c r="C46" s="4">
        <f>Sales!J46</f>
        <v>0.05</v>
      </c>
      <c r="D46" t="str">
        <f>Sales!C46</f>
        <v>East</v>
      </c>
      <c r="E46" t="str">
        <f>Sales!E46</f>
        <v>Partner</v>
      </c>
      <c r="F46" t="str">
        <f t="shared" si="6"/>
        <v>Normal</v>
      </c>
      <c r="G46" t="str">
        <f t="shared" si="7"/>
        <v>Bulk Discount</v>
      </c>
      <c r="H46" t="str">
        <f t="shared" si="8"/>
        <v>E/W</v>
      </c>
      <c r="I46" t="str">
        <f t="shared" si="9"/>
        <v>Medium</v>
      </c>
      <c r="J46" s="4">
        <f t="shared" si="10"/>
        <v>0.08</v>
      </c>
      <c r="K46" s="10">
        <f>IFERROR(B46/Sales!I46,0)</f>
        <v>7.3333333333333332E-3</v>
      </c>
      <c r="L46" t="b">
        <f t="shared" si="11"/>
        <v>0</v>
      </c>
    </row>
    <row r="47" spans="1:12" x14ac:dyDescent="0.35">
      <c r="A47" t="str">
        <f>Sales!A47</f>
        <v>ORD-1046</v>
      </c>
      <c r="B47">
        <f>Sales!H47</f>
        <v>19</v>
      </c>
      <c r="C47" s="4">
        <f>Sales!J47</f>
        <v>0.1</v>
      </c>
      <c r="D47" t="str">
        <f>Sales!C47</f>
        <v>North</v>
      </c>
      <c r="E47" t="str">
        <f>Sales!E47</f>
        <v>Retail Store</v>
      </c>
      <c r="F47" t="str">
        <f t="shared" si="6"/>
        <v>Bulk</v>
      </c>
      <c r="G47" t="str">
        <f t="shared" si="7"/>
        <v>Bulk Discount</v>
      </c>
      <c r="H47" t="str">
        <f t="shared" si="8"/>
        <v>N/S</v>
      </c>
      <c r="I47" t="str">
        <f t="shared" si="9"/>
        <v>Medium</v>
      </c>
      <c r="J47" s="4">
        <f t="shared" si="10"/>
        <v>0.05</v>
      </c>
      <c r="K47" s="10">
        <f>IFERROR(B47/Sales!I47,0)</f>
        <v>2.7142857142857142E-3</v>
      </c>
      <c r="L47" t="b">
        <f t="shared" si="11"/>
        <v>1</v>
      </c>
    </row>
    <row r="48" spans="1:12" x14ac:dyDescent="0.35">
      <c r="A48" t="str">
        <f>Sales!A48</f>
        <v>ORD-1047</v>
      </c>
      <c r="B48">
        <f>Sales!H48</f>
        <v>15</v>
      </c>
      <c r="C48" s="4">
        <f>Sales!J48</f>
        <v>0</v>
      </c>
      <c r="D48" t="str">
        <f>Sales!C48</f>
        <v>East</v>
      </c>
      <c r="E48" t="str">
        <f>Sales!E48</f>
        <v>Online</v>
      </c>
      <c r="F48" t="str">
        <f t="shared" si="6"/>
        <v>Normal</v>
      </c>
      <c r="G48" t="str">
        <f t="shared" si="7"/>
        <v/>
      </c>
      <c r="H48" t="str">
        <f t="shared" si="8"/>
        <v>E/W</v>
      </c>
      <c r="I48" t="str">
        <f t="shared" si="9"/>
        <v>Medium</v>
      </c>
      <c r="J48" s="4">
        <f t="shared" si="10"/>
        <v>0.02</v>
      </c>
      <c r="K48" s="10">
        <f>IFERROR(B48/Sales!I48,0)</f>
        <v>1.7647058823529412E-3</v>
      </c>
      <c r="L48" t="b">
        <f t="shared" si="11"/>
        <v>1</v>
      </c>
    </row>
    <row r="49" spans="1:12" x14ac:dyDescent="0.35">
      <c r="A49" t="str">
        <f>Sales!A49</f>
        <v>ORD-1048</v>
      </c>
      <c r="B49">
        <f>Sales!H49</f>
        <v>8</v>
      </c>
      <c r="C49" s="4">
        <f>Sales!J49</f>
        <v>0</v>
      </c>
      <c r="D49" t="str">
        <f>Sales!C49</f>
        <v>North</v>
      </c>
      <c r="E49" t="str">
        <f>Sales!E49</f>
        <v>Online</v>
      </c>
      <c r="F49" t="str">
        <f t="shared" si="6"/>
        <v>Normal</v>
      </c>
      <c r="G49" t="str">
        <f t="shared" si="7"/>
        <v/>
      </c>
      <c r="H49" t="str">
        <f t="shared" si="8"/>
        <v>N/S</v>
      </c>
      <c r="I49" t="str">
        <f t="shared" si="9"/>
        <v>Low</v>
      </c>
      <c r="J49" s="4">
        <f t="shared" si="10"/>
        <v>0.02</v>
      </c>
      <c r="K49" s="10">
        <f>IFERROR(B49/Sales!I49,0)</f>
        <v>9.4117647058823532E-4</v>
      </c>
      <c r="L49" t="b">
        <f t="shared" si="11"/>
        <v>0</v>
      </c>
    </row>
    <row r="50" spans="1:12" x14ac:dyDescent="0.35">
      <c r="A50" t="str">
        <f>Sales!A50</f>
        <v>ORD-1049</v>
      </c>
      <c r="B50">
        <f>Sales!H50</f>
        <v>5</v>
      </c>
      <c r="C50" s="4">
        <f>Sales!J50</f>
        <v>0</v>
      </c>
      <c r="D50" t="str">
        <f>Sales!C50</f>
        <v>West</v>
      </c>
      <c r="E50" t="str">
        <f>Sales!E50</f>
        <v>Partner</v>
      </c>
      <c r="F50" t="str">
        <f t="shared" si="6"/>
        <v>Normal</v>
      </c>
      <c r="G50" t="str">
        <f t="shared" si="7"/>
        <v/>
      </c>
      <c r="H50" t="str">
        <f t="shared" si="8"/>
        <v>E/W</v>
      </c>
      <c r="I50" t="str">
        <f t="shared" si="9"/>
        <v>Low</v>
      </c>
      <c r="J50" s="4">
        <f t="shared" si="10"/>
        <v>0.08</v>
      </c>
      <c r="K50" s="10">
        <f>IFERROR(B50/Sales!I50,0)</f>
        <v>2.0833333333333335E-4</v>
      </c>
      <c r="L50" t="b">
        <f t="shared" si="11"/>
        <v>0</v>
      </c>
    </row>
    <row r="51" spans="1:12" x14ac:dyDescent="0.35">
      <c r="A51" t="str">
        <f>Sales!A51</f>
        <v>ORD-1050</v>
      </c>
      <c r="B51">
        <f>Sales!H51</f>
        <v>16</v>
      </c>
      <c r="C51" s="4">
        <f>Sales!J51</f>
        <v>0</v>
      </c>
      <c r="D51" t="str">
        <f>Sales!C51</f>
        <v>East</v>
      </c>
      <c r="E51" t="str">
        <f>Sales!E51</f>
        <v>Partner</v>
      </c>
      <c r="F51" t="str">
        <f t="shared" si="6"/>
        <v>Bulk</v>
      </c>
      <c r="G51" t="str">
        <f t="shared" si="7"/>
        <v/>
      </c>
      <c r="H51" t="str">
        <f t="shared" si="8"/>
        <v>E/W</v>
      </c>
      <c r="I51" t="str">
        <f t="shared" si="9"/>
        <v>Medium</v>
      </c>
      <c r="J51" s="4">
        <f t="shared" si="10"/>
        <v>0.08</v>
      </c>
      <c r="K51" s="10">
        <f>IFERROR(B51/Sales!I51,0)</f>
        <v>1.6842105263157895E-4</v>
      </c>
      <c r="L51" t="b">
        <f t="shared" si="11"/>
        <v>0</v>
      </c>
    </row>
    <row r="52" spans="1:12" x14ac:dyDescent="0.35">
      <c r="A52" t="str">
        <f>Sales!A52</f>
        <v>ORD-1051</v>
      </c>
      <c r="B52">
        <f>Sales!H52</f>
        <v>9</v>
      </c>
      <c r="C52" s="4">
        <f>Sales!J52</f>
        <v>0.1</v>
      </c>
      <c r="D52" t="str">
        <f>Sales!C52</f>
        <v>South</v>
      </c>
      <c r="E52" t="str">
        <f>Sales!E52</f>
        <v>Partner</v>
      </c>
      <c r="F52" t="str">
        <f t="shared" si="6"/>
        <v>Normal</v>
      </c>
      <c r="G52" t="str">
        <f t="shared" si="7"/>
        <v/>
      </c>
      <c r="H52" t="str">
        <f t="shared" si="8"/>
        <v>N/S</v>
      </c>
      <c r="I52" t="str">
        <f t="shared" si="9"/>
        <v>Low</v>
      </c>
      <c r="J52" s="4">
        <f t="shared" si="10"/>
        <v>0.08</v>
      </c>
      <c r="K52" s="10">
        <f>IFERROR(B52/Sales!I52,0)</f>
        <v>1.2857142857142856E-3</v>
      </c>
      <c r="L52" t="b">
        <f t="shared" si="11"/>
        <v>0</v>
      </c>
    </row>
    <row r="53" spans="1:12" x14ac:dyDescent="0.35">
      <c r="A53" t="str">
        <f>Sales!A53</f>
        <v>ORD-1052</v>
      </c>
      <c r="B53">
        <f>Sales!H53</f>
        <v>16</v>
      </c>
      <c r="C53" s="4">
        <f>Sales!J53</f>
        <v>0.15</v>
      </c>
      <c r="D53" t="str">
        <f>Sales!C53</f>
        <v>South</v>
      </c>
      <c r="E53" t="str">
        <f>Sales!E53</f>
        <v>Retail Store</v>
      </c>
      <c r="F53" t="str">
        <f t="shared" si="6"/>
        <v>Bulk</v>
      </c>
      <c r="G53" t="str">
        <f t="shared" si="7"/>
        <v>Bulk Discount</v>
      </c>
      <c r="H53" t="str">
        <f t="shared" si="8"/>
        <v>N/S</v>
      </c>
      <c r="I53" t="str">
        <f t="shared" si="9"/>
        <v>Medium</v>
      </c>
      <c r="J53" s="4">
        <f t="shared" si="10"/>
        <v>0.05</v>
      </c>
      <c r="K53" s="10">
        <f>IFERROR(B53/Sales!I53,0)</f>
        <v>1.6842105263157895E-4</v>
      </c>
      <c r="L53" t="b">
        <f t="shared" si="11"/>
        <v>0</v>
      </c>
    </row>
    <row r="54" spans="1:12" x14ac:dyDescent="0.35">
      <c r="A54" t="str">
        <f>Sales!A54</f>
        <v>ORD-1053</v>
      </c>
      <c r="B54">
        <f>Sales!H54</f>
        <v>19</v>
      </c>
      <c r="C54" s="4">
        <f>Sales!J54</f>
        <v>0.05</v>
      </c>
      <c r="D54" t="str">
        <f>Sales!C54</f>
        <v>South</v>
      </c>
      <c r="E54" t="str">
        <f>Sales!E54</f>
        <v>Partner</v>
      </c>
      <c r="F54" t="str">
        <f t="shared" si="6"/>
        <v>Bulk</v>
      </c>
      <c r="G54" t="str">
        <f t="shared" si="7"/>
        <v>Bulk Discount</v>
      </c>
      <c r="H54" t="str">
        <f t="shared" si="8"/>
        <v>N/S</v>
      </c>
      <c r="I54" t="str">
        <f t="shared" si="9"/>
        <v>Medium</v>
      </c>
      <c r="J54" s="4">
        <f t="shared" si="10"/>
        <v>0.08</v>
      </c>
      <c r="K54" s="10">
        <f>IFERROR(B54/Sales!I54,0)</f>
        <v>2.2352941176470588E-3</v>
      </c>
      <c r="L54" t="b">
        <f t="shared" si="11"/>
        <v>0</v>
      </c>
    </row>
    <row r="55" spans="1:12" x14ac:dyDescent="0.35">
      <c r="A55" t="str">
        <f>Sales!A55</f>
        <v>ORD-1054</v>
      </c>
      <c r="B55">
        <f>Sales!H55</f>
        <v>4</v>
      </c>
      <c r="C55" s="4">
        <f>Sales!J55</f>
        <v>0.05</v>
      </c>
      <c r="D55" t="str">
        <f>Sales!C55</f>
        <v>North</v>
      </c>
      <c r="E55" t="str">
        <f>Sales!E55</f>
        <v>Online</v>
      </c>
      <c r="F55" t="str">
        <f t="shared" si="6"/>
        <v>Normal</v>
      </c>
      <c r="G55" t="str">
        <f t="shared" si="7"/>
        <v/>
      </c>
      <c r="H55" t="str">
        <f t="shared" si="8"/>
        <v>N/S</v>
      </c>
      <c r="I55" t="str">
        <f t="shared" si="9"/>
        <v>Low</v>
      </c>
      <c r="J55" s="4">
        <f t="shared" si="10"/>
        <v>0.02</v>
      </c>
      <c r="K55" s="10">
        <f>IFERROR(B55/Sales!I55,0)</f>
        <v>1.6E-2</v>
      </c>
      <c r="L55" t="b">
        <f t="shared" si="11"/>
        <v>0</v>
      </c>
    </row>
    <row r="56" spans="1:12" x14ac:dyDescent="0.35">
      <c r="A56" t="str">
        <f>Sales!A56</f>
        <v>ORD-1055</v>
      </c>
      <c r="B56">
        <f>Sales!H56</f>
        <v>11</v>
      </c>
      <c r="C56" s="4">
        <f>Sales!J56</f>
        <v>0.05</v>
      </c>
      <c r="D56" t="str">
        <f>Sales!C56</f>
        <v>South</v>
      </c>
      <c r="E56" t="str">
        <f>Sales!E56</f>
        <v>Retail Store</v>
      </c>
      <c r="F56" t="str">
        <f t="shared" si="6"/>
        <v>Normal</v>
      </c>
      <c r="G56" t="str">
        <f t="shared" si="7"/>
        <v>Bulk Discount</v>
      </c>
      <c r="H56" t="str">
        <f t="shared" si="8"/>
        <v>N/S</v>
      </c>
      <c r="I56" t="str">
        <f t="shared" si="9"/>
        <v>Medium</v>
      </c>
      <c r="J56" s="4">
        <f t="shared" si="10"/>
        <v>0.05</v>
      </c>
      <c r="K56" s="10">
        <f>IFERROR(B56/Sales!I56,0)</f>
        <v>4.5833333333333332E-4</v>
      </c>
      <c r="L56" t="b">
        <f t="shared" si="11"/>
        <v>0</v>
      </c>
    </row>
    <row r="57" spans="1:12" x14ac:dyDescent="0.35">
      <c r="A57" t="str">
        <f>Sales!A57</f>
        <v>ORD-1056</v>
      </c>
      <c r="B57">
        <f>Sales!H57</f>
        <v>20</v>
      </c>
      <c r="C57" s="4">
        <f>Sales!J57</f>
        <v>0.05</v>
      </c>
      <c r="D57" t="str">
        <f>Sales!C57</f>
        <v>North</v>
      </c>
      <c r="E57" t="str">
        <f>Sales!E57</f>
        <v>Retail Store</v>
      </c>
      <c r="F57" t="str">
        <f t="shared" si="6"/>
        <v>Bulk</v>
      </c>
      <c r="G57" t="str">
        <f t="shared" si="7"/>
        <v>Bulk Discount</v>
      </c>
      <c r="H57" t="str">
        <f t="shared" si="8"/>
        <v>N/S</v>
      </c>
      <c r="I57" t="str">
        <f t="shared" si="9"/>
        <v>Medium</v>
      </c>
      <c r="J57" s="4">
        <f t="shared" si="10"/>
        <v>0.05</v>
      </c>
      <c r="K57" s="10">
        <f>IFERROR(B57/Sales!I57,0)</f>
        <v>1.3333333333333334E-2</v>
      </c>
      <c r="L57" t="b">
        <f t="shared" si="11"/>
        <v>1</v>
      </c>
    </row>
    <row r="58" spans="1:12" x14ac:dyDescent="0.35">
      <c r="A58" t="str">
        <f>Sales!A58</f>
        <v>ORD-1057</v>
      </c>
      <c r="B58">
        <f>Sales!H58</f>
        <v>25</v>
      </c>
      <c r="C58" s="4">
        <f>Sales!J58</f>
        <v>0</v>
      </c>
      <c r="D58" t="str">
        <f>Sales!C58</f>
        <v>East</v>
      </c>
      <c r="E58" t="str">
        <f>Sales!E58</f>
        <v>Retail Store</v>
      </c>
      <c r="F58" t="str">
        <f t="shared" si="6"/>
        <v>Bulk</v>
      </c>
      <c r="G58" t="str">
        <f t="shared" si="7"/>
        <v/>
      </c>
      <c r="H58" t="str">
        <f t="shared" si="8"/>
        <v>E/W</v>
      </c>
      <c r="I58" t="str">
        <f t="shared" si="9"/>
        <v>High</v>
      </c>
      <c r="J58" s="4">
        <f t="shared" si="10"/>
        <v>0.05</v>
      </c>
      <c r="K58" s="10">
        <f>IFERROR(B58/Sales!I58,0)</f>
        <v>2.0833333333333333E-3</v>
      </c>
      <c r="L58" t="b">
        <f t="shared" si="11"/>
        <v>0</v>
      </c>
    </row>
    <row r="59" spans="1:12" x14ac:dyDescent="0.35">
      <c r="A59" t="str">
        <f>Sales!A59</f>
        <v>ORD-1058</v>
      </c>
      <c r="B59">
        <f>Sales!H59</f>
        <v>1</v>
      </c>
      <c r="C59" s="4">
        <f>Sales!J59</f>
        <v>0</v>
      </c>
      <c r="D59" t="str">
        <f>Sales!C59</f>
        <v>South</v>
      </c>
      <c r="E59" t="str">
        <f>Sales!E59</f>
        <v>Online</v>
      </c>
      <c r="F59" t="str">
        <f t="shared" si="6"/>
        <v>Normal</v>
      </c>
      <c r="G59" t="str">
        <f t="shared" si="7"/>
        <v/>
      </c>
      <c r="H59" t="str">
        <f t="shared" si="8"/>
        <v>N/S</v>
      </c>
      <c r="I59" t="str">
        <f t="shared" si="9"/>
        <v>Low</v>
      </c>
      <c r="J59" s="4">
        <f t="shared" si="10"/>
        <v>0.02</v>
      </c>
      <c r="K59" s="10">
        <f>IFERROR(B59/Sales!I59,0)</f>
        <v>1.6666666666666668E-3</v>
      </c>
      <c r="L59" t="b">
        <f t="shared" si="11"/>
        <v>1</v>
      </c>
    </row>
    <row r="60" spans="1:12" x14ac:dyDescent="0.35">
      <c r="A60" t="str">
        <f>Sales!A60</f>
        <v>ORD-1059</v>
      </c>
      <c r="B60">
        <f>Sales!H60</f>
        <v>13</v>
      </c>
      <c r="C60" s="4">
        <f>Sales!J60</f>
        <v>0.05</v>
      </c>
      <c r="D60" t="str">
        <f>Sales!C60</f>
        <v>West</v>
      </c>
      <c r="E60" t="str">
        <f>Sales!E60</f>
        <v>Online</v>
      </c>
      <c r="F60" t="str">
        <f t="shared" si="6"/>
        <v>Normal</v>
      </c>
      <c r="G60" t="str">
        <f t="shared" si="7"/>
        <v>Bulk Discount</v>
      </c>
      <c r="H60" t="str">
        <f t="shared" si="8"/>
        <v>E/W</v>
      </c>
      <c r="I60" t="str">
        <f t="shared" si="9"/>
        <v>Medium</v>
      </c>
      <c r="J60" s="4">
        <f t="shared" si="10"/>
        <v>0.02</v>
      </c>
      <c r="K60" s="10">
        <f>IFERROR(B60/Sales!I60,0)</f>
        <v>8.6666666666666663E-3</v>
      </c>
      <c r="L60" t="b">
        <f t="shared" si="11"/>
        <v>1</v>
      </c>
    </row>
    <row r="61" spans="1:12" x14ac:dyDescent="0.35">
      <c r="A61" t="str">
        <f>Sales!A61</f>
        <v>ORD-1060</v>
      </c>
      <c r="B61">
        <f>Sales!H61</f>
        <v>20</v>
      </c>
      <c r="C61" s="4">
        <f>Sales!J61</f>
        <v>0.1</v>
      </c>
      <c r="D61" t="str">
        <f>Sales!C61</f>
        <v>South</v>
      </c>
      <c r="E61" t="str">
        <f>Sales!E61</f>
        <v>Retail Store</v>
      </c>
      <c r="F61" t="str">
        <f t="shared" si="6"/>
        <v>Bulk</v>
      </c>
      <c r="G61" t="str">
        <f t="shared" si="7"/>
        <v>Bulk Discount</v>
      </c>
      <c r="H61" t="str">
        <f t="shared" si="8"/>
        <v>N/S</v>
      </c>
      <c r="I61" t="str">
        <f t="shared" si="9"/>
        <v>Medium</v>
      </c>
      <c r="J61" s="4">
        <f t="shared" si="10"/>
        <v>0.05</v>
      </c>
      <c r="K61" s="10">
        <f>IFERROR(B61/Sales!I61,0)</f>
        <v>5.7142857142857141E-2</v>
      </c>
      <c r="L61" t="b">
        <f t="shared" si="11"/>
        <v>0</v>
      </c>
    </row>
    <row r="62" spans="1:12" x14ac:dyDescent="0.35">
      <c r="A62" t="str">
        <f>Sales!A62</f>
        <v>ORD-1061</v>
      </c>
      <c r="B62">
        <f>Sales!H62</f>
        <v>24</v>
      </c>
      <c r="C62" s="4">
        <f>Sales!J62</f>
        <v>0.1</v>
      </c>
      <c r="D62" t="str">
        <f>Sales!C62</f>
        <v>West</v>
      </c>
      <c r="E62" t="str">
        <f>Sales!E62</f>
        <v>Retail Store</v>
      </c>
      <c r="F62" t="str">
        <f t="shared" si="6"/>
        <v>Bulk</v>
      </c>
      <c r="G62" t="str">
        <f t="shared" si="7"/>
        <v>Bulk Discount</v>
      </c>
      <c r="H62" t="str">
        <f t="shared" si="8"/>
        <v>E/W</v>
      </c>
      <c r="I62" t="str">
        <f t="shared" si="9"/>
        <v>High</v>
      </c>
      <c r="J62" s="4">
        <f t="shared" si="10"/>
        <v>0.05</v>
      </c>
      <c r="K62" s="10">
        <f>IFERROR(B62/Sales!I62,0)</f>
        <v>6.8571428571428575E-2</v>
      </c>
      <c r="L62" t="b">
        <f t="shared" si="11"/>
        <v>0</v>
      </c>
    </row>
    <row r="63" spans="1:12" x14ac:dyDescent="0.35">
      <c r="A63" t="str">
        <f>Sales!A63</f>
        <v>ORD-1062</v>
      </c>
      <c r="B63">
        <f>Sales!H63</f>
        <v>15</v>
      </c>
      <c r="C63" s="4">
        <f>Sales!J63</f>
        <v>0.05</v>
      </c>
      <c r="D63" t="str">
        <f>Sales!C63</f>
        <v>South</v>
      </c>
      <c r="E63" t="str">
        <f>Sales!E63</f>
        <v>Online</v>
      </c>
      <c r="F63" t="str">
        <f t="shared" si="6"/>
        <v>Normal</v>
      </c>
      <c r="G63" t="str">
        <f t="shared" si="7"/>
        <v>Bulk Discount</v>
      </c>
      <c r="H63" t="str">
        <f t="shared" si="8"/>
        <v>N/S</v>
      </c>
      <c r="I63" t="str">
        <f t="shared" si="9"/>
        <v>Medium</v>
      </c>
      <c r="J63" s="4">
        <f t="shared" si="10"/>
        <v>0.02</v>
      </c>
      <c r="K63" s="10">
        <f>IFERROR(B63/Sales!I63,0)</f>
        <v>1.25E-3</v>
      </c>
      <c r="L63" t="b">
        <f t="shared" si="11"/>
        <v>1</v>
      </c>
    </row>
    <row r="64" spans="1:12" x14ac:dyDescent="0.35">
      <c r="A64" t="str">
        <f>Sales!A64</f>
        <v>ORD-1063</v>
      </c>
      <c r="B64">
        <f>Sales!H64</f>
        <v>4</v>
      </c>
      <c r="C64" s="4">
        <f>Sales!J64</f>
        <v>0.05</v>
      </c>
      <c r="D64" t="str">
        <f>Sales!C64</f>
        <v>West</v>
      </c>
      <c r="E64" t="str">
        <f>Sales!E64</f>
        <v>Online</v>
      </c>
      <c r="F64" t="str">
        <f t="shared" si="6"/>
        <v>Normal</v>
      </c>
      <c r="G64" t="str">
        <f t="shared" si="7"/>
        <v/>
      </c>
      <c r="H64" t="str">
        <f t="shared" si="8"/>
        <v>E/W</v>
      </c>
      <c r="I64" t="str">
        <f t="shared" si="9"/>
        <v>Low</v>
      </c>
      <c r="J64" s="4">
        <f t="shared" si="10"/>
        <v>0.02</v>
      </c>
      <c r="K64" s="10">
        <f>IFERROR(B64/Sales!I64,0)</f>
        <v>4.7058823529411766E-4</v>
      </c>
      <c r="L64" t="b">
        <f t="shared" si="11"/>
        <v>1</v>
      </c>
    </row>
    <row r="65" spans="1:12" x14ac:dyDescent="0.35">
      <c r="A65" t="str">
        <f>Sales!A65</f>
        <v>ORD-1064</v>
      </c>
      <c r="B65">
        <f>Sales!H65</f>
        <v>9</v>
      </c>
      <c r="C65" s="4">
        <f>Sales!J65</f>
        <v>0</v>
      </c>
      <c r="D65" t="str">
        <f>Sales!C65</f>
        <v>North</v>
      </c>
      <c r="E65" t="str">
        <f>Sales!E65</f>
        <v>Partner</v>
      </c>
      <c r="F65" t="str">
        <f t="shared" si="6"/>
        <v>Normal</v>
      </c>
      <c r="G65" t="str">
        <f t="shared" si="7"/>
        <v/>
      </c>
      <c r="H65" t="str">
        <f t="shared" si="8"/>
        <v>N/S</v>
      </c>
      <c r="I65" t="str">
        <f t="shared" si="9"/>
        <v>Low</v>
      </c>
      <c r="J65" s="4">
        <f t="shared" si="10"/>
        <v>0.08</v>
      </c>
      <c r="K65" s="10">
        <f>IFERROR(B65/Sales!I65,0)</f>
        <v>7.5000000000000002E-4</v>
      </c>
      <c r="L65" t="b">
        <f t="shared" si="11"/>
        <v>1</v>
      </c>
    </row>
    <row r="66" spans="1:12" x14ac:dyDescent="0.35">
      <c r="A66" t="str">
        <f>Sales!A66</f>
        <v>ORD-1065</v>
      </c>
      <c r="B66">
        <f>Sales!H66</f>
        <v>7</v>
      </c>
      <c r="C66" s="4">
        <f>Sales!J66</f>
        <v>0.1</v>
      </c>
      <c r="D66" t="str">
        <f>Sales!C66</f>
        <v>West</v>
      </c>
      <c r="E66" t="str">
        <f>Sales!E66</f>
        <v>Retail Store</v>
      </c>
      <c r="F66" t="str">
        <f t="shared" ref="F66:F97" si="12">IF(B66&gt;15,"Bulk","Normal")</f>
        <v>Normal</v>
      </c>
      <c r="G66" t="str">
        <f t="shared" ref="G66:G97" si="13">IF(AND(B66&gt;10,C66&gt;0),"Bulk Discount","")</f>
        <v/>
      </c>
      <c r="H66" t="str">
        <f t="shared" ref="H66:H97" si="14">IF(OR(D66="North",D66="South"),"N/S","E/W")</f>
        <v>E/W</v>
      </c>
      <c r="I66" t="str">
        <f t="shared" ref="I66:I97" si="15">IF(B66&gt;20,"High",IF(B66&gt;10,"Medium","Low"))</f>
        <v>Low</v>
      </c>
      <c r="J66" s="4">
        <f t="shared" ref="J66:J97" si="16">IF(E66="Online",0.02,IF(E66="Retail Store",0.05,0.08))</f>
        <v>0.05</v>
      </c>
      <c r="K66" s="10">
        <f>IFERROR(B66/Sales!I66,0)</f>
        <v>4.6666666666666671E-3</v>
      </c>
      <c r="L66" t="b">
        <f t="shared" ref="L66:L97" si="17">IF(OR(AND(D66="North",E66&lt;&gt;"Online"),AND(D66&lt;&gt;"North",E66="Online")),TRUE,FALSE)</f>
        <v>0</v>
      </c>
    </row>
    <row r="67" spans="1:12" x14ac:dyDescent="0.35">
      <c r="A67" t="str">
        <f>Sales!A67</f>
        <v>ORD-1066</v>
      </c>
      <c r="B67">
        <f>Sales!H67</f>
        <v>25</v>
      </c>
      <c r="C67" s="4">
        <f>Sales!J67</f>
        <v>0.05</v>
      </c>
      <c r="D67" t="str">
        <f>Sales!C67</f>
        <v>East</v>
      </c>
      <c r="E67" t="str">
        <f>Sales!E67</f>
        <v>Retail Store</v>
      </c>
      <c r="F67" t="str">
        <f t="shared" si="12"/>
        <v>Bulk</v>
      </c>
      <c r="G67" t="str">
        <f t="shared" si="13"/>
        <v>Bulk Discount</v>
      </c>
      <c r="H67" t="str">
        <f t="shared" si="14"/>
        <v>E/W</v>
      </c>
      <c r="I67" t="str">
        <f t="shared" si="15"/>
        <v>High</v>
      </c>
      <c r="J67" s="4">
        <f t="shared" si="16"/>
        <v>0.05</v>
      </c>
      <c r="K67" s="10">
        <f>IFERROR(B67/Sales!I67,0)</f>
        <v>1.0416666666666667E-3</v>
      </c>
      <c r="L67" t="b">
        <f t="shared" si="17"/>
        <v>0</v>
      </c>
    </row>
    <row r="68" spans="1:12" x14ac:dyDescent="0.35">
      <c r="A68" t="str">
        <f>Sales!A68</f>
        <v>ORD-1067</v>
      </c>
      <c r="B68">
        <f>Sales!H68</f>
        <v>13</v>
      </c>
      <c r="C68" s="4">
        <f>Sales!J68</f>
        <v>0</v>
      </c>
      <c r="D68" t="str">
        <f>Sales!C68</f>
        <v>South</v>
      </c>
      <c r="E68" t="str">
        <f>Sales!E68</f>
        <v>Retail Store</v>
      </c>
      <c r="F68" t="str">
        <f t="shared" si="12"/>
        <v>Normal</v>
      </c>
      <c r="G68" t="str">
        <f t="shared" si="13"/>
        <v/>
      </c>
      <c r="H68" t="str">
        <f t="shared" si="14"/>
        <v>N/S</v>
      </c>
      <c r="I68" t="str">
        <f t="shared" si="15"/>
        <v>Medium</v>
      </c>
      <c r="J68" s="4">
        <f t="shared" si="16"/>
        <v>0.05</v>
      </c>
      <c r="K68" s="10">
        <f>IFERROR(B68/Sales!I68,0)</f>
        <v>5.1999999999999998E-2</v>
      </c>
      <c r="L68" t="b">
        <f t="shared" si="17"/>
        <v>0</v>
      </c>
    </row>
    <row r="69" spans="1:12" x14ac:dyDescent="0.35">
      <c r="A69" t="str">
        <f>Sales!A69</f>
        <v>ORD-1068</v>
      </c>
      <c r="B69">
        <f>Sales!H69</f>
        <v>8</v>
      </c>
      <c r="C69" s="4">
        <f>Sales!J69</f>
        <v>0</v>
      </c>
      <c r="D69" t="str">
        <f>Sales!C69</f>
        <v>North</v>
      </c>
      <c r="E69" t="str">
        <f>Sales!E69</f>
        <v>Retail Store</v>
      </c>
      <c r="F69" t="str">
        <f t="shared" si="12"/>
        <v>Normal</v>
      </c>
      <c r="G69" t="str">
        <f t="shared" si="13"/>
        <v/>
      </c>
      <c r="H69" t="str">
        <f t="shared" si="14"/>
        <v>N/S</v>
      </c>
      <c r="I69" t="str">
        <f t="shared" si="15"/>
        <v>Low</v>
      </c>
      <c r="J69" s="4">
        <f t="shared" si="16"/>
        <v>0.05</v>
      </c>
      <c r="K69" s="10">
        <f>IFERROR(B69/Sales!I69,0)</f>
        <v>9.4117647058823532E-4</v>
      </c>
      <c r="L69" t="b">
        <f t="shared" si="17"/>
        <v>1</v>
      </c>
    </row>
    <row r="70" spans="1:12" x14ac:dyDescent="0.35">
      <c r="A70" t="str">
        <f>Sales!A70</f>
        <v>ORD-1069</v>
      </c>
      <c r="B70">
        <f>Sales!H70</f>
        <v>12</v>
      </c>
      <c r="C70" s="4">
        <f>Sales!J70</f>
        <v>0.1</v>
      </c>
      <c r="D70" t="str">
        <f>Sales!C70</f>
        <v>West</v>
      </c>
      <c r="E70" t="str">
        <f>Sales!E70</f>
        <v>Retail Store</v>
      </c>
      <c r="F70" t="str">
        <f t="shared" si="12"/>
        <v>Normal</v>
      </c>
      <c r="G70" t="str">
        <f t="shared" si="13"/>
        <v>Bulk Discount</v>
      </c>
      <c r="H70" t="str">
        <f t="shared" si="14"/>
        <v>E/W</v>
      </c>
      <c r="I70" t="str">
        <f t="shared" si="15"/>
        <v>Medium</v>
      </c>
      <c r="J70" s="4">
        <f t="shared" si="16"/>
        <v>0.05</v>
      </c>
      <c r="K70" s="10">
        <f>IFERROR(B70/Sales!I70,0)</f>
        <v>0.02</v>
      </c>
      <c r="L70" t="b">
        <f t="shared" si="17"/>
        <v>0</v>
      </c>
    </row>
    <row r="71" spans="1:12" x14ac:dyDescent="0.35">
      <c r="A71" t="str">
        <f>Sales!A71</f>
        <v>ORD-1070</v>
      </c>
      <c r="B71">
        <f>Sales!H71</f>
        <v>4</v>
      </c>
      <c r="C71" s="4">
        <f>Sales!J71</f>
        <v>0.1</v>
      </c>
      <c r="D71" t="str">
        <f>Sales!C71</f>
        <v>West</v>
      </c>
      <c r="E71" t="str">
        <f>Sales!E71</f>
        <v>Partner</v>
      </c>
      <c r="F71" t="str">
        <f t="shared" si="12"/>
        <v>Normal</v>
      </c>
      <c r="G71" t="str">
        <f t="shared" si="13"/>
        <v/>
      </c>
      <c r="H71" t="str">
        <f t="shared" si="14"/>
        <v>E/W</v>
      </c>
      <c r="I71" t="str">
        <f t="shared" si="15"/>
        <v>Low</v>
      </c>
      <c r="J71" s="4">
        <f t="shared" si="16"/>
        <v>0.08</v>
      </c>
      <c r="K71" s="10">
        <f>IFERROR(B71/Sales!I71,0)</f>
        <v>2.6666666666666666E-3</v>
      </c>
      <c r="L71" t="b">
        <f t="shared" si="17"/>
        <v>0</v>
      </c>
    </row>
    <row r="72" spans="1:12" x14ac:dyDescent="0.35">
      <c r="A72" t="str">
        <f>Sales!A72</f>
        <v>ORD-1071</v>
      </c>
      <c r="B72">
        <f>Sales!H72</f>
        <v>8</v>
      </c>
      <c r="C72" s="4">
        <f>Sales!J72</f>
        <v>0.05</v>
      </c>
      <c r="D72" t="str">
        <f>Sales!C72</f>
        <v>West</v>
      </c>
      <c r="E72" t="str">
        <f>Sales!E72</f>
        <v>Online</v>
      </c>
      <c r="F72" t="str">
        <f t="shared" si="12"/>
        <v>Normal</v>
      </c>
      <c r="G72" t="str">
        <f t="shared" si="13"/>
        <v/>
      </c>
      <c r="H72" t="str">
        <f t="shared" si="14"/>
        <v>E/W</v>
      </c>
      <c r="I72" t="str">
        <f t="shared" si="15"/>
        <v>Low</v>
      </c>
      <c r="J72" s="4">
        <f t="shared" si="16"/>
        <v>0.02</v>
      </c>
      <c r="K72" s="10">
        <f>IFERROR(B72/Sales!I72,0)</f>
        <v>6.6666666666666664E-4</v>
      </c>
      <c r="L72" t="b">
        <f t="shared" si="17"/>
        <v>1</v>
      </c>
    </row>
    <row r="73" spans="1:12" x14ac:dyDescent="0.35">
      <c r="A73" t="str">
        <f>Sales!A73</f>
        <v>ORD-1072</v>
      </c>
      <c r="B73">
        <f>Sales!H73</f>
        <v>15</v>
      </c>
      <c r="C73" s="4">
        <f>Sales!J73</f>
        <v>0.05</v>
      </c>
      <c r="D73" t="str">
        <f>Sales!C73</f>
        <v>East</v>
      </c>
      <c r="E73" t="str">
        <f>Sales!E73</f>
        <v>Online</v>
      </c>
      <c r="F73" t="str">
        <f t="shared" si="12"/>
        <v>Normal</v>
      </c>
      <c r="G73" t="str">
        <f t="shared" si="13"/>
        <v>Bulk Discount</v>
      </c>
      <c r="H73" t="str">
        <f t="shared" si="14"/>
        <v>E/W</v>
      </c>
      <c r="I73" t="str">
        <f t="shared" si="15"/>
        <v>Medium</v>
      </c>
      <c r="J73" s="4">
        <f t="shared" si="16"/>
        <v>0.02</v>
      </c>
      <c r="K73" s="10">
        <f>IFERROR(B73/Sales!I73,0)</f>
        <v>1.25E-3</v>
      </c>
      <c r="L73" t="b">
        <f t="shared" si="17"/>
        <v>1</v>
      </c>
    </row>
    <row r="74" spans="1:12" x14ac:dyDescent="0.35">
      <c r="A74" t="str">
        <f>Sales!A74</f>
        <v>ORD-1073</v>
      </c>
      <c r="B74">
        <f>Sales!H74</f>
        <v>17</v>
      </c>
      <c r="C74" s="4">
        <f>Sales!J74</f>
        <v>0.1</v>
      </c>
      <c r="D74" t="str">
        <f>Sales!C74</f>
        <v>East</v>
      </c>
      <c r="E74" t="str">
        <f>Sales!E74</f>
        <v>Retail Store</v>
      </c>
      <c r="F74" t="str">
        <f t="shared" si="12"/>
        <v>Bulk</v>
      </c>
      <c r="G74" t="str">
        <f t="shared" si="13"/>
        <v>Bulk Discount</v>
      </c>
      <c r="H74" t="str">
        <f t="shared" si="14"/>
        <v>E/W</v>
      </c>
      <c r="I74" t="str">
        <f t="shared" si="15"/>
        <v>Medium</v>
      </c>
      <c r="J74" s="4">
        <f t="shared" si="16"/>
        <v>0.05</v>
      </c>
      <c r="K74" s="10">
        <f>IFERROR(B74/Sales!I74,0)</f>
        <v>2E-3</v>
      </c>
      <c r="L74" t="b">
        <f t="shared" si="17"/>
        <v>0</v>
      </c>
    </row>
    <row r="75" spans="1:12" x14ac:dyDescent="0.35">
      <c r="A75" t="str">
        <f>Sales!A75</f>
        <v>ORD-1074</v>
      </c>
      <c r="B75">
        <f>Sales!H75</f>
        <v>2</v>
      </c>
      <c r="C75" s="4">
        <f>Sales!J75</f>
        <v>0.1</v>
      </c>
      <c r="D75" t="str">
        <f>Sales!C75</f>
        <v>East</v>
      </c>
      <c r="E75" t="str">
        <f>Sales!E75</f>
        <v>Partner</v>
      </c>
      <c r="F75" t="str">
        <f t="shared" si="12"/>
        <v>Normal</v>
      </c>
      <c r="G75" t="str">
        <f t="shared" si="13"/>
        <v/>
      </c>
      <c r="H75" t="str">
        <f t="shared" si="14"/>
        <v>E/W</v>
      </c>
      <c r="I75" t="str">
        <f t="shared" si="15"/>
        <v>Low</v>
      </c>
      <c r="J75" s="4">
        <f t="shared" si="16"/>
        <v>0.08</v>
      </c>
      <c r="K75" s="10">
        <f>IFERROR(B75/Sales!I75,0)</f>
        <v>1.3333333333333333E-3</v>
      </c>
      <c r="L75" t="b">
        <f t="shared" si="17"/>
        <v>0</v>
      </c>
    </row>
    <row r="76" spans="1:12" x14ac:dyDescent="0.35">
      <c r="A76" t="str">
        <f>Sales!A76</f>
        <v>ORD-1075</v>
      </c>
      <c r="B76">
        <f>Sales!H76</f>
        <v>5</v>
      </c>
      <c r="C76" s="4">
        <f>Sales!J76</f>
        <v>0.1</v>
      </c>
      <c r="D76" t="str">
        <f>Sales!C76</f>
        <v>West</v>
      </c>
      <c r="E76" t="str">
        <f>Sales!E76</f>
        <v>Retail Store</v>
      </c>
      <c r="F76" t="str">
        <f t="shared" si="12"/>
        <v>Normal</v>
      </c>
      <c r="G76" t="str">
        <f t="shared" si="13"/>
        <v/>
      </c>
      <c r="H76" t="str">
        <f t="shared" si="14"/>
        <v>E/W</v>
      </c>
      <c r="I76" t="str">
        <f t="shared" si="15"/>
        <v>Low</v>
      </c>
      <c r="J76" s="4">
        <f t="shared" si="16"/>
        <v>0.05</v>
      </c>
      <c r="K76" s="10">
        <f>IFERROR(B76/Sales!I76,0)</f>
        <v>1.4285714285714285E-2</v>
      </c>
      <c r="L76" t="b">
        <f t="shared" si="17"/>
        <v>0</v>
      </c>
    </row>
    <row r="77" spans="1:12" x14ac:dyDescent="0.35">
      <c r="A77" t="str">
        <f>Sales!A77</f>
        <v>ORD-1076</v>
      </c>
      <c r="B77">
        <f>Sales!H77</f>
        <v>8</v>
      </c>
      <c r="C77" s="4">
        <f>Sales!J77</f>
        <v>0</v>
      </c>
      <c r="D77" t="str">
        <f>Sales!C77</f>
        <v>North</v>
      </c>
      <c r="E77" t="str">
        <f>Sales!E77</f>
        <v>Partner</v>
      </c>
      <c r="F77" t="str">
        <f t="shared" si="12"/>
        <v>Normal</v>
      </c>
      <c r="G77" t="str">
        <f t="shared" si="13"/>
        <v/>
      </c>
      <c r="H77" t="str">
        <f t="shared" si="14"/>
        <v>N/S</v>
      </c>
      <c r="I77" t="str">
        <f t="shared" si="15"/>
        <v>Low</v>
      </c>
      <c r="J77" s="4">
        <f t="shared" si="16"/>
        <v>0.08</v>
      </c>
      <c r="K77" s="10">
        <f>IFERROR(B77/Sales!I77,0)</f>
        <v>8.4210526315789476E-5</v>
      </c>
      <c r="L77" t="b">
        <f t="shared" si="17"/>
        <v>1</v>
      </c>
    </row>
    <row r="78" spans="1:12" x14ac:dyDescent="0.35">
      <c r="A78" t="str">
        <f>Sales!A78</f>
        <v>ORD-1077</v>
      </c>
      <c r="B78">
        <f>Sales!H78</f>
        <v>10</v>
      </c>
      <c r="C78" s="4">
        <f>Sales!J78</f>
        <v>0.1</v>
      </c>
      <c r="D78" t="str">
        <f>Sales!C78</f>
        <v>West</v>
      </c>
      <c r="E78" t="str">
        <f>Sales!E78</f>
        <v>Partner</v>
      </c>
      <c r="F78" t="str">
        <f t="shared" si="12"/>
        <v>Normal</v>
      </c>
      <c r="G78" t="str">
        <f t="shared" si="13"/>
        <v/>
      </c>
      <c r="H78" t="str">
        <f t="shared" si="14"/>
        <v>E/W</v>
      </c>
      <c r="I78" t="str">
        <f t="shared" si="15"/>
        <v>Low</v>
      </c>
      <c r="J78" s="4">
        <f t="shared" si="16"/>
        <v>0.08</v>
      </c>
      <c r="K78" s="10">
        <f>IFERROR(B78/Sales!I78,0)</f>
        <v>1.176470588235294E-3</v>
      </c>
      <c r="L78" t="b">
        <f t="shared" si="17"/>
        <v>0</v>
      </c>
    </row>
    <row r="79" spans="1:12" x14ac:dyDescent="0.35">
      <c r="A79" t="str">
        <f>Sales!A79</f>
        <v>ORD-1078</v>
      </c>
      <c r="B79">
        <f>Sales!H79</f>
        <v>3</v>
      </c>
      <c r="C79" s="4">
        <f>Sales!J79</f>
        <v>0</v>
      </c>
      <c r="D79" t="str">
        <f>Sales!C79</f>
        <v>North</v>
      </c>
      <c r="E79" t="str">
        <f>Sales!E79</f>
        <v>Partner</v>
      </c>
      <c r="F79" t="str">
        <f t="shared" si="12"/>
        <v>Normal</v>
      </c>
      <c r="G79" t="str">
        <f t="shared" si="13"/>
        <v/>
      </c>
      <c r="H79" t="str">
        <f t="shared" si="14"/>
        <v>N/S</v>
      </c>
      <c r="I79" t="str">
        <f t="shared" si="15"/>
        <v>Low</v>
      </c>
      <c r="J79" s="4">
        <f t="shared" si="16"/>
        <v>0.08</v>
      </c>
      <c r="K79" s="10">
        <f>IFERROR(B79/Sales!I79,0)</f>
        <v>4.2857142857142855E-4</v>
      </c>
      <c r="L79" t="b">
        <f t="shared" si="17"/>
        <v>1</v>
      </c>
    </row>
    <row r="80" spans="1:12" x14ac:dyDescent="0.35">
      <c r="A80" t="str">
        <f>Sales!A80</f>
        <v>ORD-1079</v>
      </c>
      <c r="B80">
        <f>Sales!H80</f>
        <v>21</v>
      </c>
      <c r="C80" s="4">
        <f>Sales!J80</f>
        <v>0.1</v>
      </c>
      <c r="D80" t="str">
        <f>Sales!C80</f>
        <v>West</v>
      </c>
      <c r="E80" t="str">
        <f>Sales!E80</f>
        <v>Retail Store</v>
      </c>
      <c r="F80" t="str">
        <f t="shared" si="12"/>
        <v>Bulk</v>
      </c>
      <c r="G80" t="str">
        <f t="shared" si="13"/>
        <v>Bulk Discount</v>
      </c>
      <c r="H80" t="str">
        <f t="shared" si="14"/>
        <v>E/W</v>
      </c>
      <c r="I80" t="str">
        <f t="shared" si="15"/>
        <v>High</v>
      </c>
      <c r="J80" s="4">
        <f t="shared" si="16"/>
        <v>0.05</v>
      </c>
      <c r="K80" s="10">
        <f>IFERROR(B80/Sales!I80,0)</f>
        <v>8.7500000000000002E-4</v>
      </c>
      <c r="L80" t="b">
        <f t="shared" si="17"/>
        <v>0</v>
      </c>
    </row>
    <row r="81" spans="1:12" x14ac:dyDescent="0.35">
      <c r="A81" t="str">
        <f>Sales!A81</f>
        <v>ORD-1080</v>
      </c>
      <c r="B81">
        <f>Sales!H81</f>
        <v>18</v>
      </c>
      <c r="C81" s="4">
        <f>Sales!J81</f>
        <v>0.05</v>
      </c>
      <c r="D81" t="str">
        <f>Sales!C81</f>
        <v>West</v>
      </c>
      <c r="E81" t="str">
        <f>Sales!E81</f>
        <v>Retail Store</v>
      </c>
      <c r="F81" t="str">
        <f t="shared" si="12"/>
        <v>Bulk</v>
      </c>
      <c r="G81" t="str">
        <f t="shared" si="13"/>
        <v>Bulk Discount</v>
      </c>
      <c r="H81" t="str">
        <f t="shared" si="14"/>
        <v>E/W</v>
      </c>
      <c r="I81" t="str">
        <f t="shared" si="15"/>
        <v>Medium</v>
      </c>
      <c r="J81" s="4">
        <f t="shared" si="16"/>
        <v>0.05</v>
      </c>
      <c r="K81" s="10">
        <f>IFERROR(B81/Sales!I81,0)</f>
        <v>2.1176470588235292E-3</v>
      </c>
      <c r="L81" t="b">
        <f t="shared" si="17"/>
        <v>0</v>
      </c>
    </row>
    <row r="82" spans="1:12" x14ac:dyDescent="0.35">
      <c r="A82" t="str">
        <f>Sales!A82</f>
        <v>ORD-1081</v>
      </c>
      <c r="B82">
        <f>Sales!H82</f>
        <v>17</v>
      </c>
      <c r="C82" s="4">
        <f>Sales!J82</f>
        <v>0</v>
      </c>
      <c r="D82" t="str">
        <f>Sales!C82</f>
        <v>East</v>
      </c>
      <c r="E82" t="str">
        <f>Sales!E82</f>
        <v>Online</v>
      </c>
      <c r="F82" t="str">
        <f t="shared" si="12"/>
        <v>Bulk</v>
      </c>
      <c r="G82" t="str">
        <f t="shared" si="13"/>
        <v/>
      </c>
      <c r="H82" t="str">
        <f t="shared" si="14"/>
        <v>E/W</v>
      </c>
      <c r="I82" t="str">
        <f t="shared" si="15"/>
        <v>Medium</v>
      </c>
      <c r="J82" s="4">
        <f t="shared" si="16"/>
        <v>0.02</v>
      </c>
      <c r="K82" s="10">
        <f>IFERROR(B82/Sales!I82,0)</f>
        <v>1.7894736842105264E-4</v>
      </c>
      <c r="L82" t="b">
        <f t="shared" si="17"/>
        <v>1</v>
      </c>
    </row>
    <row r="83" spans="1:12" x14ac:dyDescent="0.35">
      <c r="A83" t="str">
        <f>Sales!A83</f>
        <v>ORD-1082</v>
      </c>
      <c r="B83">
        <f>Sales!H83</f>
        <v>20</v>
      </c>
      <c r="C83" s="4">
        <f>Sales!J83</f>
        <v>0</v>
      </c>
      <c r="D83" t="str">
        <f>Sales!C83</f>
        <v>North</v>
      </c>
      <c r="E83" t="str">
        <f>Sales!E83</f>
        <v>Online</v>
      </c>
      <c r="F83" t="str">
        <f t="shared" si="12"/>
        <v>Bulk</v>
      </c>
      <c r="G83" t="str">
        <f t="shared" si="13"/>
        <v/>
      </c>
      <c r="H83" t="str">
        <f t="shared" si="14"/>
        <v>N/S</v>
      </c>
      <c r="I83" t="str">
        <f t="shared" si="15"/>
        <v>Medium</v>
      </c>
      <c r="J83" s="4">
        <f t="shared" si="16"/>
        <v>0.02</v>
      </c>
      <c r="K83" s="10">
        <f>IFERROR(B83/Sales!I83,0)</f>
        <v>2.8571428571428571E-3</v>
      </c>
      <c r="L83" t="b">
        <f t="shared" si="17"/>
        <v>0</v>
      </c>
    </row>
    <row r="84" spans="1:12" x14ac:dyDescent="0.35">
      <c r="A84" t="str">
        <f>Sales!A84</f>
        <v>ORD-1083</v>
      </c>
      <c r="B84">
        <f>Sales!H84</f>
        <v>17</v>
      </c>
      <c r="C84" s="4">
        <f>Sales!J84</f>
        <v>0</v>
      </c>
      <c r="D84" t="str">
        <f>Sales!C84</f>
        <v>South</v>
      </c>
      <c r="E84" t="str">
        <f>Sales!E84</f>
        <v>Retail Store</v>
      </c>
      <c r="F84" t="str">
        <f t="shared" si="12"/>
        <v>Bulk</v>
      </c>
      <c r="G84" t="str">
        <f t="shared" si="13"/>
        <v/>
      </c>
      <c r="H84" t="str">
        <f t="shared" si="14"/>
        <v>N/S</v>
      </c>
      <c r="I84" t="str">
        <f t="shared" si="15"/>
        <v>Medium</v>
      </c>
      <c r="J84" s="4">
        <f t="shared" si="16"/>
        <v>0.05</v>
      </c>
      <c r="K84" s="10">
        <f>IFERROR(B84/Sales!I84,0)</f>
        <v>1.1333333333333334E-2</v>
      </c>
      <c r="L84" t="b">
        <f t="shared" si="17"/>
        <v>0</v>
      </c>
    </row>
    <row r="85" spans="1:12" x14ac:dyDescent="0.35">
      <c r="A85" t="str">
        <f>Sales!A85</f>
        <v>ORD-1084</v>
      </c>
      <c r="B85">
        <f>Sales!H85</f>
        <v>25</v>
      </c>
      <c r="C85" s="4">
        <f>Sales!J85</f>
        <v>0.1</v>
      </c>
      <c r="D85" t="str">
        <f>Sales!C85</f>
        <v>West</v>
      </c>
      <c r="E85" t="str">
        <f>Sales!E85</f>
        <v>Online</v>
      </c>
      <c r="F85" t="str">
        <f t="shared" si="12"/>
        <v>Bulk</v>
      </c>
      <c r="G85" t="str">
        <f t="shared" si="13"/>
        <v>Bulk Discount</v>
      </c>
      <c r="H85" t="str">
        <f t="shared" si="14"/>
        <v>E/W</v>
      </c>
      <c r="I85" t="str">
        <f t="shared" si="15"/>
        <v>High</v>
      </c>
      <c r="J85" s="4">
        <f t="shared" si="16"/>
        <v>0.02</v>
      </c>
      <c r="K85" s="10">
        <f>IFERROR(B85/Sales!I85,0)</f>
        <v>1.6666666666666666E-2</v>
      </c>
      <c r="L85" t="b">
        <f t="shared" si="17"/>
        <v>1</v>
      </c>
    </row>
    <row r="86" spans="1:12" x14ac:dyDescent="0.35">
      <c r="A86" t="str">
        <f>Sales!A86</f>
        <v>ORD-1085</v>
      </c>
      <c r="B86">
        <f>Sales!H86</f>
        <v>7</v>
      </c>
      <c r="C86" s="4">
        <f>Sales!J86</f>
        <v>0.1</v>
      </c>
      <c r="D86" t="str">
        <f>Sales!C86</f>
        <v>East</v>
      </c>
      <c r="E86" t="str">
        <f>Sales!E86</f>
        <v>Online</v>
      </c>
      <c r="F86" t="str">
        <f t="shared" si="12"/>
        <v>Normal</v>
      </c>
      <c r="G86" t="str">
        <f t="shared" si="13"/>
        <v/>
      </c>
      <c r="H86" t="str">
        <f t="shared" si="14"/>
        <v>E/W</v>
      </c>
      <c r="I86" t="str">
        <f t="shared" si="15"/>
        <v>Low</v>
      </c>
      <c r="J86" s="4">
        <f t="shared" si="16"/>
        <v>0.02</v>
      </c>
      <c r="K86" s="10">
        <f>IFERROR(B86/Sales!I86,0)</f>
        <v>1.1666666666666667E-2</v>
      </c>
      <c r="L86" t="b">
        <f t="shared" si="17"/>
        <v>1</v>
      </c>
    </row>
    <row r="87" spans="1:12" x14ac:dyDescent="0.35">
      <c r="A87" t="str">
        <f>Sales!A87</f>
        <v>ORD-1086</v>
      </c>
      <c r="B87">
        <f>Sales!H87</f>
        <v>7</v>
      </c>
      <c r="C87" s="4">
        <f>Sales!J87</f>
        <v>0.1</v>
      </c>
      <c r="D87" t="str">
        <f>Sales!C87</f>
        <v>East</v>
      </c>
      <c r="E87" t="str">
        <f>Sales!E87</f>
        <v>Retail Store</v>
      </c>
      <c r="F87" t="str">
        <f t="shared" si="12"/>
        <v>Normal</v>
      </c>
      <c r="G87" t="str">
        <f t="shared" si="13"/>
        <v/>
      </c>
      <c r="H87" t="str">
        <f t="shared" si="14"/>
        <v>E/W</v>
      </c>
      <c r="I87" t="str">
        <f t="shared" si="15"/>
        <v>Low</v>
      </c>
      <c r="J87" s="4">
        <f t="shared" si="16"/>
        <v>0.05</v>
      </c>
      <c r="K87" s="10">
        <f>IFERROR(B87/Sales!I87,0)</f>
        <v>5.8333333333333338E-4</v>
      </c>
      <c r="L87" t="b">
        <f t="shared" si="17"/>
        <v>0</v>
      </c>
    </row>
    <row r="88" spans="1:12" x14ac:dyDescent="0.35">
      <c r="A88" t="str">
        <f>Sales!A88</f>
        <v>ORD-1087</v>
      </c>
      <c r="B88">
        <f>Sales!H88</f>
        <v>9</v>
      </c>
      <c r="C88" s="4">
        <f>Sales!J88</f>
        <v>0.05</v>
      </c>
      <c r="D88" t="str">
        <f>Sales!C88</f>
        <v>East</v>
      </c>
      <c r="E88" t="str">
        <f>Sales!E88</f>
        <v>Online</v>
      </c>
      <c r="F88" t="str">
        <f t="shared" si="12"/>
        <v>Normal</v>
      </c>
      <c r="G88" t="str">
        <f t="shared" si="13"/>
        <v/>
      </c>
      <c r="H88" t="str">
        <f t="shared" si="14"/>
        <v>E/W</v>
      </c>
      <c r="I88" t="str">
        <f t="shared" si="15"/>
        <v>Low</v>
      </c>
      <c r="J88" s="4">
        <f t="shared" si="16"/>
        <v>0.02</v>
      </c>
      <c r="K88" s="10">
        <f>IFERROR(B88/Sales!I88,0)</f>
        <v>1.2857142857142856E-3</v>
      </c>
      <c r="L88" t="b">
        <f t="shared" si="17"/>
        <v>1</v>
      </c>
    </row>
    <row r="89" spans="1:12" x14ac:dyDescent="0.35">
      <c r="A89" t="str">
        <f>Sales!A89</f>
        <v>ORD-1088</v>
      </c>
      <c r="B89">
        <f>Sales!H89</f>
        <v>22</v>
      </c>
      <c r="C89" s="4">
        <f>Sales!J89</f>
        <v>0</v>
      </c>
      <c r="D89" t="str">
        <f>Sales!C89</f>
        <v>South</v>
      </c>
      <c r="E89" t="str">
        <f>Sales!E89</f>
        <v>Online</v>
      </c>
      <c r="F89" t="str">
        <f t="shared" si="12"/>
        <v>Bulk</v>
      </c>
      <c r="G89" t="str">
        <f t="shared" si="13"/>
        <v/>
      </c>
      <c r="H89" t="str">
        <f t="shared" si="14"/>
        <v>N/S</v>
      </c>
      <c r="I89" t="str">
        <f t="shared" si="15"/>
        <v>High</v>
      </c>
      <c r="J89" s="4">
        <f t="shared" si="16"/>
        <v>0.02</v>
      </c>
      <c r="K89" s="10">
        <f>IFERROR(B89/Sales!I89,0)</f>
        <v>3.6666666666666667E-2</v>
      </c>
      <c r="L89" t="b">
        <f t="shared" si="17"/>
        <v>1</v>
      </c>
    </row>
    <row r="90" spans="1:12" x14ac:dyDescent="0.35">
      <c r="A90" t="str">
        <f>Sales!A90</f>
        <v>ORD-1089</v>
      </c>
      <c r="B90">
        <f>Sales!H90</f>
        <v>16</v>
      </c>
      <c r="C90" s="4">
        <f>Sales!J90</f>
        <v>0</v>
      </c>
      <c r="D90" t="str">
        <f>Sales!C90</f>
        <v>West</v>
      </c>
      <c r="E90" t="str">
        <f>Sales!E90</f>
        <v>Retail Store</v>
      </c>
      <c r="F90" t="str">
        <f t="shared" si="12"/>
        <v>Bulk</v>
      </c>
      <c r="G90" t="str">
        <f t="shared" si="13"/>
        <v/>
      </c>
      <c r="H90" t="str">
        <f t="shared" si="14"/>
        <v>E/W</v>
      </c>
      <c r="I90" t="str">
        <f t="shared" si="15"/>
        <v>Medium</v>
      </c>
      <c r="J90" s="4">
        <f t="shared" si="16"/>
        <v>0.05</v>
      </c>
      <c r="K90" s="10">
        <f>IFERROR(B90/Sales!I90,0)</f>
        <v>4.5714285714285714E-2</v>
      </c>
      <c r="L90" t="b">
        <f t="shared" si="17"/>
        <v>0</v>
      </c>
    </row>
    <row r="91" spans="1:12" x14ac:dyDescent="0.35">
      <c r="A91" t="str">
        <f>Sales!A91</f>
        <v>ORD-1090</v>
      </c>
      <c r="B91">
        <f>Sales!H91</f>
        <v>5</v>
      </c>
      <c r="C91" s="4">
        <f>Sales!J91</f>
        <v>0.15</v>
      </c>
      <c r="D91" t="str">
        <f>Sales!C91</f>
        <v>West</v>
      </c>
      <c r="E91" t="str">
        <f>Sales!E91</f>
        <v>Retail Store</v>
      </c>
      <c r="F91" t="str">
        <f t="shared" si="12"/>
        <v>Normal</v>
      </c>
      <c r="G91" t="str">
        <f t="shared" si="13"/>
        <v/>
      </c>
      <c r="H91" t="str">
        <f t="shared" si="14"/>
        <v>E/W</v>
      </c>
      <c r="I91" t="str">
        <f t="shared" si="15"/>
        <v>Low</v>
      </c>
      <c r="J91" s="4">
        <f t="shared" si="16"/>
        <v>0.05</v>
      </c>
      <c r="K91" s="10">
        <f>IFERROR(B91/Sales!I91,0)</f>
        <v>3.3333333333333335E-3</v>
      </c>
      <c r="L91" t="b">
        <f t="shared" si="17"/>
        <v>0</v>
      </c>
    </row>
    <row r="92" spans="1:12" x14ac:dyDescent="0.35">
      <c r="A92" t="str">
        <f>Sales!A92</f>
        <v>ORD-1091</v>
      </c>
      <c r="B92">
        <f>Sales!H92</f>
        <v>21</v>
      </c>
      <c r="C92" s="4">
        <f>Sales!J92</f>
        <v>0</v>
      </c>
      <c r="D92" t="str">
        <f>Sales!C92</f>
        <v>South</v>
      </c>
      <c r="E92" t="str">
        <f>Sales!E92</f>
        <v>Retail Store</v>
      </c>
      <c r="F92" t="str">
        <f t="shared" si="12"/>
        <v>Bulk</v>
      </c>
      <c r="G92" t="str">
        <f t="shared" si="13"/>
        <v/>
      </c>
      <c r="H92" t="str">
        <f t="shared" si="14"/>
        <v>N/S</v>
      </c>
      <c r="I92" t="str">
        <f t="shared" si="15"/>
        <v>High</v>
      </c>
      <c r="J92" s="4">
        <f t="shared" si="16"/>
        <v>0.05</v>
      </c>
      <c r="K92" s="10">
        <f>IFERROR(B92/Sales!I92,0)</f>
        <v>1.4E-2</v>
      </c>
      <c r="L92" t="b">
        <f t="shared" si="17"/>
        <v>0</v>
      </c>
    </row>
    <row r="93" spans="1:12" x14ac:dyDescent="0.35">
      <c r="A93" t="str">
        <f>Sales!A93</f>
        <v>ORD-1092</v>
      </c>
      <c r="B93">
        <f>Sales!H93</f>
        <v>22</v>
      </c>
      <c r="C93" s="4">
        <f>Sales!J93</f>
        <v>0</v>
      </c>
      <c r="D93" t="str">
        <f>Sales!C93</f>
        <v>East</v>
      </c>
      <c r="E93" t="str">
        <f>Sales!E93</f>
        <v>Online</v>
      </c>
      <c r="F93" t="str">
        <f t="shared" si="12"/>
        <v>Bulk</v>
      </c>
      <c r="G93" t="str">
        <f t="shared" si="13"/>
        <v/>
      </c>
      <c r="H93" t="str">
        <f t="shared" si="14"/>
        <v>E/W</v>
      </c>
      <c r="I93" t="str">
        <f t="shared" si="15"/>
        <v>High</v>
      </c>
      <c r="J93" s="4">
        <f t="shared" si="16"/>
        <v>0.02</v>
      </c>
      <c r="K93" s="10">
        <f>IFERROR(B93/Sales!I93,0)</f>
        <v>2.5882352941176473E-3</v>
      </c>
      <c r="L93" t="b">
        <f t="shared" si="17"/>
        <v>1</v>
      </c>
    </row>
    <row r="94" spans="1:12" x14ac:dyDescent="0.35">
      <c r="A94" t="str">
        <f>Sales!A94</f>
        <v>ORD-1093</v>
      </c>
      <c r="B94">
        <f>Sales!H94</f>
        <v>17</v>
      </c>
      <c r="C94" s="4">
        <f>Sales!J94</f>
        <v>0.1</v>
      </c>
      <c r="D94" t="str">
        <f>Sales!C94</f>
        <v>North</v>
      </c>
      <c r="E94" t="str">
        <f>Sales!E94</f>
        <v>Online</v>
      </c>
      <c r="F94" t="str">
        <f t="shared" si="12"/>
        <v>Bulk</v>
      </c>
      <c r="G94" t="str">
        <f t="shared" si="13"/>
        <v>Bulk Discount</v>
      </c>
      <c r="H94" t="str">
        <f t="shared" si="14"/>
        <v>N/S</v>
      </c>
      <c r="I94" t="str">
        <f t="shared" si="15"/>
        <v>Medium</v>
      </c>
      <c r="J94" s="4">
        <f t="shared" si="16"/>
        <v>0.02</v>
      </c>
      <c r="K94" s="10">
        <f>IFERROR(B94/Sales!I94,0)</f>
        <v>2.8333333333333332E-2</v>
      </c>
      <c r="L94" t="b">
        <f t="shared" si="17"/>
        <v>0</v>
      </c>
    </row>
    <row r="95" spans="1:12" x14ac:dyDescent="0.35">
      <c r="A95" t="str">
        <f>Sales!A95</f>
        <v>ORD-1094</v>
      </c>
      <c r="B95">
        <f>Sales!H95</f>
        <v>15</v>
      </c>
      <c r="C95" s="4">
        <f>Sales!J95</f>
        <v>0</v>
      </c>
      <c r="D95" t="str">
        <f>Sales!C95</f>
        <v>West</v>
      </c>
      <c r="E95" t="str">
        <f>Sales!E95</f>
        <v>Partner</v>
      </c>
      <c r="F95" t="str">
        <f t="shared" si="12"/>
        <v>Normal</v>
      </c>
      <c r="G95" t="str">
        <f t="shared" si="13"/>
        <v/>
      </c>
      <c r="H95" t="str">
        <f t="shared" si="14"/>
        <v>E/W</v>
      </c>
      <c r="I95" t="str">
        <f t="shared" si="15"/>
        <v>Medium</v>
      </c>
      <c r="J95" s="4">
        <f t="shared" si="16"/>
        <v>0.08</v>
      </c>
      <c r="K95" s="10">
        <f>IFERROR(B95/Sales!I95,0)</f>
        <v>0.01</v>
      </c>
      <c r="L95" t="b">
        <f t="shared" si="17"/>
        <v>0</v>
      </c>
    </row>
    <row r="96" spans="1:12" x14ac:dyDescent="0.35">
      <c r="A96" t="str">
        <f>Sales!A96</f>
        <v>ORD-1095</v>
      </c>
      <c r="B96">
        <f>Sales!H96</f>
        <v>7</v>
      </c>
      <c r="C96" s="4">
        <f>Sales!J96</f>
        <v>0</v>
      </c>
      <c r="D96" t="str">
        <f>Sales!C96</f>
        <v>West</v>
      </c>
      <c r="E96" t="str">
        <f>Sales!E96</f>
        <v>Online</v>
      </c>
      <c r="F96" t="str">
        <f t="shared" si="12"/>
        <v>Normal</v>
      </c>
      <c r="G96" t="str">
        <f t="shared" si="13"/>
        <v/>
      </c>
      <c r="H96" t="str">
        <f t="shared" si="14"/>
        <v>E/W</v>
      </c>
      <c r="I96" t="str">
        <f t="shared" si="15"/>
        <v>Low</v>
      </c>
      <c r="J96" s="4">
        <f t="shared" si="16"/>
        <v>0.02</v>
      </c>
      <c r="K96" s="10">
        <f>IFERROR(B96/Sales!I96,0)</f>
        <v>4.6666666666666671E-3</v>
      </c>
      <c r="L96" t="b">
        <f t="shared" si="17"/>
        <v>1</v>
      </c>
    </row>
    <row r="97" spans="1:12" x14ac:dyDescent="0.35">
      <c r="A97" t="str">
        <f>Sales!A97</f>
        <v>ORD-1096</v>
      </c>
      <c r="B97">
        <f>Sales!H97</f>
        <v>14</v>
      </c>
      <c r="C97" s="4">
        <f>Sales!J97</f>
        <v>0.15</v>
      </c>
      <c r="D97" t="str">
        <f>Sales!C97</f>
        <v>West</v>
      </c>
      <c r="E97" t="str">
        <f>Sales!E97</f>
        <v>Partner</v>
      </c>
      <c r="F97" t="str">
        <f t="shared" si="12"/>
        <v>Normal</v>
      </c>
      <c r="G97" t="str">
        <f t="shared" si="13"/>
        <v>Bulk Discount</v>
      </c>
      <c r="H97" t="str">
        <f t="shared" si="14"/>
        <v>E/W</v>
      </c>
      <c r="I97" t="str">
        <f t="shared" si="15"/>
        <v>Medium</v>
      </c>
      <c r="J97" s="4">
        <f t="shared" si="16"/>
        <v>0.08</v>
      </c>
      <c r="K97" s="10">
        <f>IFERROR(B97/Sales!I97,0)</f>
        <v>2.3333333333333334E-2</v>
      </c>
      <c r="L97" t="b">
        <f t="shared" si="17"/>
        <v>0</v>
      </c>
    </row>
    <row r="98" spans="1:12" x14ac:dyDescent="0.35">
      <c r="A98" t="str">
        <f>Sales!A98</f>
        <v>ORD-1097</v>
      </c>
      <c r="B98">
        <f>Sales!H98</f>
        <v>5</v>
      </c>
      <c r="C98" s="4">
        <f>Sales!J98</f>
        <v>0</v>
      </c>
      <c r="D98" t="str">
        <f>Sales!C98</f>
        <v>East</v>
      </c>
      <c r="E98" t="str">
        <f>Sales!E98</f>
        <v>Online</v>
      </c>
      <c r="F98" t="str">
        <f t="shared" ref="F98:F121" si="18">IF(B98&gt;15,"Bulk","Normal")</f>
        <v>Normal</v>
      </c>
      <c r="G98" t="str">
        <f t="shared" ref="G98:G121" si="19">IF(AND(B98&gt;10,C98&gt;0),"Bulk Discount","")</f>
        <v/>
      </c>
      <c r="H98" t="str">
        <f t="shared" ref="H98:H121" si="20">IF(OR(D98="North",D98="South"),"N/S","E/W")</f>
        <v>E/W</v>
      </c>
      <c r="I98" t="str">
        <f t="shared" ref="I98:I121" si="21">IF(B98&gt;20,"High",IF(B98&gt;10,"Medium","Low"))</f>
        <v>Low</v>
      </c>
      <c r="J98" s="4">
        <f t="shared" ref="J98:J121" si="22">IF(E98="Online",0.02,IF(E98="Retail Store",0.05,0.08))</f>
        <v>0.02</v>
      </c>
      <c r="K98" s="10">
        <f>IFERROR(B98/Sales!I98,0)</f>
        <v>1.4285714285714285E-2</v>
      </c>
      <c r="L98" t="b">
        <f t="shared" ref="L98:L121" si="23">IF(OR(AND(D98="North",E98&lt;&gt;"Online"),AND(D98&lt;&gt;"North",E98="Online")),TRUE,FALSE)</f>
        <v>1</v>
      </c>
    </row>
    <row r="99" spans="1:12" x14ac:dyDescent="0.35">
      <c r="A99" t="str">
        <f>Sales!A99</f>
        <v>ORD-1098</v>
      </c>
      <c r="B99">
        <f>Sales!H99</f>
        <v>19</v>
      </c>
      <c r="C99" s="4">
        <f>Sales!J99</f>
        <v>0</v>
      </c>
      <c r="D99" t="str">
        <f>Sales!C99</f>
        <v>East</v>
      </c>
      <c r="E99" t="str">
        <f>Sales!E99</f>
        <v>Online</v>
      </c>
      <c r="F99" t="str">
        <f t="shared" si="18"/>
        <v>Bulk</v>
      </c>
      <c r="G99" t="str">
        <f t="shared" si="19"/>
        <v/>
      </c>
      <c r="H99" t="str">
        <f t="shared" si="20"/>
        <v>E/W</v>
      </c>
      <c r="I99" t="str">
        <f t="shared" si="21"/>
        <v>Medium</v>
      </c>
      <c r="J99" s="4">
        <f t="shared" si="22"/>
        <v>0.02</v>
      </c>
      <c r="K99" s="10">
        <f>IFERROR(B99/Sales!I99,0)</f>
        <v>3.1666666666666669E-2</v>
      </c>
      <c r="L99" t="b">
        <f t="shared" si="23"/>
        <v>1</v>
      </c>
    </row>
    <row r="100" spans="1:12" x14ac:dyDescent="0.35">
      <c r="A100" t="str">
        <f>Sales!A100</f>
        <v>ORD-1099</v>
      </c>
      <c r="B100">
        <f>Sales!H100</f>
        <v>14</v>
      </c>
      <c r="C100" s="4">
        <f>Sales!J100</f>
        <v>0</v>
      </c>
      <c r="D100" t="str">
        <f>Sales!C100</f>
        <v>West</v>
      </c>
      <c r="E100" t="str">
        <f>Sales!E100</f>
        <v>Retail Store</v>
      </c>
      <c r="F100" t="str">
        <f t="shared" si="18"/>
        <v>Normal</v>
      </c>
      <c r="G100" t="str">
        <f t="shared" si="19"/>
        <v/>
      </c>
      <c r="H100" t="str">
        <f t="shared" si="20"/>
        <v>E/W</v>
      </c>
      <c r="I100" t="str">
        <f t="shared" si="21"/>
        <v>Medium</v>
      </c>
      <c r="J100" s="4">
        <f t="shared" si="22"/>
        <v>0.05</v>
      </c>
      <c r="K100" s="10">
        <f>IFERROR(B100/Sales!I100,0)</f>
        <v>2.3333333333333334E-2</v>
      </c>
      <c r="L100" t="b">
        <f t="shared" si="23"/>
        <v>0</v>
      </c>
    </row>
    <row r="101" spans="1:12" x14ac:dyDescent="0.35">
      <c r="A101" t="str">
        <f>Sales!A101</f>
        <v>ORD-1100</v>
      </c>
      <c r="B101">
        <f>Sales!H101</f>
        <v>3</v>
      </c>
      <c r="C101" s="4">
        <f>Sales!J101</f>
        <v>0</v>
      </c>
      <c r="D101" t="str">
        <f>Sales!C101</f>
        <v>South</v>
      </c>
      <c r="E101" t="str">
        <f>Sales!E101</f>
        <v>Partner</v>
      </c>
      <c r="F101" t="str">
        <f t="shared" si="18"/>
        <v>Normal</v>
      </c>
      <c r="G101" t="str">
        <f t="shared" si="19"/>
        <v/>
      </c>
      <c r="H101" t="str">
        <f t="shared" si="20"/>
        <v>N/S</v>
      </c>
      <c r="I101" t="str">
        <f t="shared" si="21"/>
        <v>Low</v>
      </c>
      <c r="J101" s="4">
        <f t="shared" si="22"/>
        <v>0.08</v>
      </c>
      <c r="K101" s="10">
        <f>IFERROR(B101/Sales!I101,0)</f>
        <v>1.25E-4</v>
      </c>
      <c r="L101" t="b">
        <f t="shared" si="23"/>
        <v>0</v>
      </c>
    </row>
    <row r="102" spans="1:12" x14ac:dyDescent="0.35">
      <c r="A102" t="str">
        <f>Sales!A102</f>
        <v>ORD-1101</v>
      </c>
      <c r="B102">
        <f>Sales!H102</f>
        <v>16</v>
      </c>
      <c r="C102" s="4">
        <f>Sales!J102</f>
        <v>0</v>
      </c>
      <c r="D102" t="str">
        <f>Sales!C102</f>
        <v>East</v>
      </c>
      <c r="E102" t="str">
        <f>Sales!E102</f>
        <v>Online</v>
      </c>
      <c r="F102" t="str">
        <f t="shared" si="18"/>
        <v>Bulk</v>
      </c>
      <c r="G102" t="str">
        <f t="shared" si="19"/>
        <v/>
      </c>
      <c r="H102" t="str">
        <f t="shared" si="20"/>
        <v>E/W</v>
      </c>
      <c r="I102" t="str">
        <f t="shared" si="21"/>
        <v>Medium</v>
      </c>
      <c r="J102" s="4">
        <f t="shared" si="22"/>
        <v>0.02</v>
      </c>
      <c r="K102" s="10">
        <f>IFERROR(B102/Sales!I102,0)</f>
        <v>6.4000000000000001E-2</v>
      </c>
      <c r="L102" t="b">
        <f t="shared" si="23"/>
        <v>1</v>
      </c>
    </row>
    <row r="103" spans="1:12" x14ac:dyDescent="0.35">
      <c r="A103" t="str">
        <f>Sales!A103</f>
        <v>ORD-1102</v>
      </c>
      <c r="B103">
        <f>Sales!H103</f>
        <v>4</v>
      </c>
      <c r="C103" s="4">
        <f>Sales!J103</f>
        <v>0.05</v>
      </c>
      <c r="D103" t="str">
        <f>Sales!C103</f>
        <v>West</v>
      </c>
      <c r="E103" t="str">
        <f>Sales!E103</f>
        <v>Partner</v>
      </c>
      <c r="F103" t="str">
        <f t="shared" si="18"/>
        <v>Normal</v>
      </c>
      <c r="G103" t="str">
        <f t="shared" si="19"/>
        <v/>
      </c>
      <c r="H103" t="str">
        <f t="shared" si="20"/>
        <v>E/W</v>
      </c>
      <c r="I103" t="str">
        <f t="shared" si="21"/>
        <v>Low</v>
      </c>
      <c r="J103" s="4">
        <f t="shared" si="22"/>
        <v>0.08</v>
      </c>
      <c r="K103" s="10">
        <f>IFERROR(B103/Sales!I103,0)</f>
        <v>1.6666666666666666E-4</v>
      </c>
      <c r="L103" t="b">
        <f t="shared" si="23"/>
        <v>0</v>
      </c>
    </row>
    <row r="104" spans="1:12" x14ac:dyDescent="0.35">
      <c r="A104" t="str">
        <f>Sales!A104</f>
        <v>ORD-1103</v>
      </c>
      <c r="B104">
        <f>Sales!H104</f>
        <v>24</v>
      </c>
      <c r="C104" s="4">
        <f>Sales!J104</f>
        <v>0</v>
      </c>
      <c r="D104" t="str">
        <f>Sales!C104</f>
        <v>West</v>
      </c>
      <c r="E104" t="str">
        <f>Sales!E104</f>
        <v>Online</v>
      </c>
      <c r="F104" t="str">
        <f t="shared" si="18"/>
        <v>Bulk</v>
      </c>
      <c r="G104" t="str">
        <f t="shared" si="19"/>
        <v/>
      </c>
      <c r="H104" t="str">
        <f t="shared" si="20"/>
        <v>E/W</v>
      </c>
      <c r="I104" t="str">
        <f t="shared" si="21"/>
        <v>High</v>
      </c>
      <c r="J104" s="4">
        <f t="shared" si="22"/>
        <v>0.02</v>
      </c>
      <c r="K104" s="10">
        <f>IFERROR(B104/Sales!I104,0)</f>
        <v>9.6000000000000002E-2</v>
      </c>
      <c r="L104" t="b">
        <f t="shared" si="23"/>
        <v>1</v>
      </c>
    </row>
    <row r="105" spans="1:12" x14ac:dyDescent="0.35">
      <c r="A105" t="str">
        <f>Sales!A105</f>
        <v>ORD-1104</v>
      </c>
      <c r="B105">
        <f>Sales!H105</f>
        <v>15</v>
      </c>
      <c r="C105" s="4">
        <f>Sales!J105</f>
        <v>0.1</v>
      </c>
      <c r="D105" t="str">
        <f>Sales!C105</f>
        <v>North</v>
      </c>
      <c r="E105" t="str">
        <f>Sales!E105</f>
        <v>Online</v>
      </c>
      <c r="F105" t="str">
        <f t="shared" si="18"/>
        <v>Normal</v>
      </c>
      <c r="G105" t="str">
        <f t="shared" si="19"/>
        <v>Bulk Discount</v>
      </c>
      <c r="H105" t="str">
        <f t="shared" si="20"/>
        <v>N/S</v>
      </c>
      <c r="I105" t="str">
        <f t="shared" si="21"/>
        <v>Medium</v>
      </c>
      <c r="J105" s="4">
        <f t="shared" si="22"/>
        <v>0.02</v>
      </c>
      <c r="K105" s="10">
        <f>IFERROR(B105/Sales!I105,0)</f>
        <v>1.5789473684210527E-4</v>
      </c>
      <c r="L105" t="b">
        <f t="shared" si="23"/>
        <v>0</v>
      </c>
    </row>
    <row r="106" spans="1:12" x14ac:dyDescent="0.35">
      <c r="A106" t="str">
        <f>Sales!A106</f>
        <v>ORD-1105</v>
      </c>
      <c r="B106">
        <f>Sales!H106</f>
        <v>6</v>
      </c>
      <c r="C106" s="4">
        <f>Sales!J106</f>
        <v>0.15</v>
      </c>
      <c r="D106" t="str">
        <f>Sales!C106</f>
        <v>North</v>
      </c>
      <c r="E106" t="str">
        <f>Sales!E106</f>
        <v>Online</v>
      </c>
      <c r="F106" t="str">
        <f t="shared" si="18"/>
        <v>Normal</v>
      </c>
      <c r="G106" t="str">
        <f t="shared" si="19"/>
        <v/>
      </c>
      <c r="H106" t="str">
        <f t="shared" si="20"/>
        <v>N/S</v>
      </c>
      <c r="I106" t="str">
        <f t="shared" si="21"/>
        <v>Low</v>
      </c>
      <c r="J106" s="4">
        <f t="shared" si="22"/>
        <v>0.02</v>
      </c>
      <c r="K106" s="10">
        <f>IFERROR(B106/Sales!I106,0)</f>
        <v>7.0588235294117652E-4</v>
      </c>
      <c r="L106" t="b">
        <f t="shared" si="23"/>
        <v>0</v>
      </c>
    </row>
    <row r="107" spans="1:12" x14ac:dyDescent="0.35">
      <c r="A107" t="str">
        <f>Sales!A107</f>
        <v>ORD-1106</v>
      </c>
      <c r="B107">
        <f>Sales!H107</f>
        <v>15</v>
      </c>
      <c r="C107" s="4">
        <f>Sales!J107</f>
        <v>0</v>
      </c>
      <c r="D107" t="str">
        <f>Sales!C107</f>
        <v>East</v>
      </c>
      <c r="E107" t="str">
        <f>Sales!E107</f>
        <v>Retail Store</v>
      </c>
      <c r="F107" t="str">
        <f t="shared" si="18"/>
        <v>Normal</v>
      </c>
      <c r="G107" t="str">
        <f t="shared" si="19"/>
        <v/>
      </c>
      <c r="H107" t="str">
        <f t="shared" si="20"/>
        <v>E/W</v>
      </c>
      <c r="I107" t="str">
        <f t="shared" si="21"/>
        <v>Medium</v>
      </c>
      <c r="J107" s="4">
        <f t="shared" si="22"/>
        <v>0.05</v>
      </c>
      <c r="K107" s="10">
        <f>IFERROR(B107/Sales!I107,0)</f>
        <v>6.2500000000000001E-4</v>
      </c>
      <c r="L107" t="b">
        <f t="shared" si="23"/>
        <v>0</v>
      </c>
    </row>
    <row r="108" spans="1:12" x14ac:dyDescent="0.35">
      <c r="A108" t="str">
        <f>Sales!A108</f>
        <v>ORD-1107</v>
      </c>
      <c r="B108">
        <f>Sales!H108</f>
        <v>17</v>
      </c>
      <c r="C108" s="4">
        <f>Sales!J108</f>
        <v>0.15</v>
      </c>
      <c r="D108" t="str">
        <f>Sales!C108</f>
        <v>East</v>
      </c>
      <c r="E108" t="str">
        <f>Sales!E108</f>
        <v>Retail Store</v>
      </c>
      <c r="F108" t="str">
        <f t="shared" si="18"/>
        <v>Bulk</v>
      </c>
      <c r="G108" t="str">
        <f t="shared" si="19"/>
        <v>Bulk Discount</v>
      </c>
      <c r="H108" t="str">
        <f t="shared" si="20"/>
        <v>E/W</v>
      </c>
      <c r="I108" t="str">
        <f t="shared" si="21"/>
        <v>Medium</v>
      </c>
      <c r="J108" s="4">
        <f t="shared" si="22"/>
        <v>0.05</v>
      </c>
      <c r="K108" s="10">
        <f>IFERROR(B108/Sales!I108,0)</f>
        <v>2.8333333333333332E-2</v>
      </c>
      <c r="L108" t="b">
        <f t="shared" si="23"/>
        <v>0</v>
      </c>
    </row>
    <row r="109" spans="1:12" x14ac:dyDescent="0.35">
      <c r="A109" t="str">
        <f>Sales!A109</f>
        <v>ORD-1108</v>
      </c>
      <c r="B109">
        <f>Sales!H109</f>
        <v>14</v>
      </c>
      <c r="C109" s="4">
        <f>Sales!J109</f>
        <v>0.05</v>
      </c>
      <c r="D109" t="str">
        <f>Sales!C109</f>
        <v>West</v>
      </c>
      <c r="E109" t="str">
        <f>Sales!E109</f>
        <v>Partner</v>
      </c>
      <c r="F109" t="str">
        <f t="shared" si="18"/>
        <v>Normal</v>
      </c>
      <c r="G109" t="str">
        <f t="shared" si="19"/>
        <v>Bulk Discount</v>
      </c>
      <c r="H109" t="str">
        <f t="shared" si="20"/>
        <v>E/W</v>
      </c>
      <c r="I109" t="str">
        <f t="shared" si="21"/>
        <v>Medium</v>
      </c>
      <c r="J109" s="4">
        <f t="shared" si="22"/>
        <v>0.08</v>
      </c>
      <c r="K109" s="10">
        <f>IFERROR(B109/Sales!I109,0)</f>
        <v>5.6000000000000001E-2</v>
      </c>
      <c r="L109" t="b">
        <f t="shared" si="23"/>
        <v>0</v>
      </c>
    </row>
    <row r="110" spans="1:12" x14ac:dyDescent="0.35">
      <c r="A110" t="str">
        <f>Sales!A110</f>
        <v>ORD-1109</v>
      </c>
      <c r="B110">
        <f>Sales!H110</f>
        <v>9</v>
      </c>
      <c r="C110" s="4">
        <f>Sales!J110</f>
        <v>0</v>
      </c>
      <c r="D110" t="str">
        <f>Sales!C110</f>
        <v>West</v>
      </c>
      <c r="E110" t="str">
        <f>Sales!E110</f>
        <v>Online</v>
      </c>
      <c r="F110" t="str">
        <f t="shared" si="18"/>
        <v>Normal</v>
      </c>
      <c r="G110" t="str">
        <f t="shared" si="19"/>
        <v/>
      </c>
      <c r="H110" t="str">
        <f t="shared" si="20"/>
        <v>E/W</v>
      </c>
      <c r="I110" t="str">
        <f t="shared" si="21"/>
        <v>Low</v>
      </c>
      <c r="J110" s="4">
        <f t="shared" si="22"/>
        <v>0.02</v>
      </c>
      <c r="K110" s="10">
        <f>IFERROR(B110/Sales!I110,0)</f>
        <v>1.0588235294117646E-3</v>
      </c>
      <c r="L110" t="b">
        <f t="shared" si="23"/>
        <v>1</v>
      </c>
    </row>
    <row r="111" spans="1:12" x14ac:dyDescent="0.35">
      <c r="A111" t="str">
        <f>Sales!A111</f>
        <v>ORD-1110</v>
      </c>
      <c r="B111">
        <f>Sales!H111</f>
        <v>11</v>
      </c>
      <c r="C111" s="4">
        <f>Sales!J111</f>
        <v>0.15</v>
      </c>
      <c r="D111" t="str">
        <f>Sales!C111</f>
        <v>West</v>
      </c>
      <c r="E111" t="str">
        <f>Sales!E111</f>
        <v>Partner</v>
      </c>
      <c r="F111" t="str">
        <f t="shared" si="18"/>
        <v>Normal</v>
      </c>
      <c r="G111" t="str">
        <f t="shared" si="19"/>
        <v>Bulk Discount</v>
      </c>
      <c r="H111" t="str">
        <f t="shared" si="20"/>
        <v>E/W</v>
      </c>
      <c r="I111" t="str">
        <f t="shared" si="21"/>
        <v>Medium</v>
      </c>
      <c r="J111" s="4">
        <f t="shared" si="22"/>
        <v>0.08</v>
      </c>
      <c r="K111" s="10">
        <f>IFERROR(B111/Sales!I111,0)</f>
        <v>1.5714285714285715E-3</v>
      </c>
      <c r="L111" t="b">
        <f t="shared" si="23"/>
        <v>0</v>
      </c>
    </row>
    <row r="112" spans="1:12" x14ac:dyDescent="0.35">
      <c r="A112" t="str">
        <f>Sales!A112</f>
        <v>ORD-1111</v>
      </c>
      <c r="B112">
        <f>Sales!H112</f>
        <v>9</v>
      </c>
      <c r="C112" s="4">
        <f>Sales!J112</f>
        <v>0.05</v>
      </c>
      <c r="D112" t="str">
        <f>Sales!C112</f>
        <v>North</v>
      </c>
      <c r="E112" t="str">
        <f>Sales!E112</f>
        <v>Retail Store</v>
      </c>
      <c r="F112" t="str">
        <f t="shared" si="18"/>
        <v>Normal</v>
      </c>
      <c r="G112" t="str">
        <f t="shared" si="19"/>
        <v/>
      </c>
      <c r="H112" t="str">
        <f t="shared" si="20"/>
        <v>N/S</v>
      </c>
      <c r="I112" t="str">
        <f t="shared" si="21"/>
        <v>Low</v>
      </c>
      <c r="J112" s="4">
        <f t="shared" si="22"/>
        <v>0.05</v>
      </c>
      <c r="K112" s="10">
        <f>IFERROR(B112/Sales!I112,0)</f>
        <v>6.0000000000000001E-3</v>
      </c>
      <c r="L112" t="b">
        <f t="shared" si="23"/>
        <v>1</v>
      </c>
    </row>
    <row r="113" spans="1:12" x14ac:dyDescent="0.35">
      <c r="A113" t="str">
        <f>Sales!A113</f>
        <v>ORD-1112</v>
      </c>
      <c r="B113">
        <f>Sales!H113</f>
        <v>16</v>
      </c>
      <c r="C113" s="4">
        <f>Sales!J113</f>
        <v>0.05</v>
      </c>
      <c r="D113" t="str">
        <f>Sales!C113</f>
        <v>West</v>
      </c>
      <c r="E113" t="str">
        <f>Sales!E113</f>
        <v>Online</v>
      </c>
      <c r="F113" t="str">
        <f t="shared" si="18"/>
        <v>Bulk</v>
      </c>
      <c r="G113" t="str">
        <f t="shared" si="19"/>
        <v>Bulk Discount</v>
      </c>
      <c r="H113" t="str">
        <f t="shared" si="20"/>
        <v>E/W</v>
      </c>
      <c r="I113" t="str">
        <f t="shared" si="21"/>
        <v>Medium</v>
      </c>
      <c r="J113" s="4">
        <f t="shared" si="22"/>
        <v>0.02</v>
      </c>
      <c r="K113" s="10">
        <f>IFERROR(B113/Sales!I113,0)</f>
        <v>2.2857142857142859E-3</v>
      </c>
      <c r="L113" t="b">
        <f t="shared" si="23"/>
        <v>1</v>
      </c>
    </row>
    <row r="114" spans="1:12" x14ac:dyDescent="0.35">
      <c r="A114" t="str">
        <f>Sales!A114</f>
        <v>ORD-1113</v>
      </c>
      <c r="B114">
        <f>Sales!H114</f>
        <v>22</v>
      </c>
      <c r="C114" s="4">
        <f>Sales!J114</f>
        <v>0</v>
      </c>
      <c r="D114" t="str">
        <f>Sales!C114</f>
        <v>East</v>
      </c>
      <c r="E114" t="str">
        <f>Sales!E114</f>
        <v>Retail Store</v>
      </c>
      <c r="F114" t="str">
        <f t="shared" si="18"/>
        <v>Bulk</v>
      </c>
      <c r="G114" t="str">
        <f t="shared" si="19"/>
        <v/>
      </c>
      <c r="H114" t="str">
        <f t="shared" si="20"/>
        <v>E/W</v>
      </c>
      <c r="I114" t="str">
        <f t="shared" si="21"/>
        <v>High</v>
      </c>
      <c r="J114" s="4">
        <f t="shared" si="22"/>
        <v>0.05</v>
      </c>
      <c r="K114" s="10">
        <f>IFERROR(B114/Sales!I114,0)</f>
        <v>1.4666666666666666E-2</v>
      </c>
      <c r="L114" t="b">
        <f t="shared" si="23"/>
        <v>0</v>
      </c>
    </row>
    <row r="115" spans="1:12" x14ac:dyDescent="0.35">
      <c r="A115" t="str">
        <f>Sales!A115</f>
        <v>ORD-1114</v>
      </c>
      <c r="B115">
        <f>Sales!H115</f>
        <v>7</v>
      </c>
      <c r="C115" s="4">
        <f>Sales!J115</f>
        <v>0</v>
      </c>
      <c r="D115" t="str">
        <f>Sales!C115</f>
        <v>East</v>
      </c>
      <c r="E115" t="str">
        <f>Sales!E115</f>
        <v>Online</v>
      </c>
      <c r="F115" t="str">
        <f t="shared" si="18"/>
        <v>Normal</v>
      </c>
      <c r="G115" t="str">
        <f t="shared" si="19"/>
        <v/>
      </c>
      <c r="H115" t="str">
        <f t="shared" si="20"/>
        <v>E/W</v>
      </c>
      <c r="I115" t="str">
        <f t="shared" si="21"/>
        <v>Low</v>
      </c>
      <c r="J115" s="4">
        <f t="shared" si="22"/>
        <v>0.02</v>
      </c>
      <c r="K115" s="10">
        <f>IFERROR(B115/Sales!I115,0)</f>
        <v>2.9166666666666669E-4</v>
      </c>
      <c r="L115" t="b">
        <f t="shared" si="23"/>
        <v>1</v>
      </c>
    </row>
    <row r="116" spans="1:12" x14ac:dyDescent="0.35">
      <c r="A116" t="str">
        <f>Sales!A116</f>
        <v>ORD-1115</v>
      </c>
      <c r="B116">
        <f>Sales!H116</f>
        <v>4</v>
      </c>
      <c r="C116" s="4">
        <f>Sales!J116</f>
        <v>0</v>
      </c>
      <c r="D116" t="str">
        <f>Sales!C116</f>
        <v>North</v>
      </c>
      <c r="E116" t="str">
        <f>Sales!E116</f>
        <v>Retail Store</v>
      </c>
      <c r="F116" t="str">
        <f t="shared" si="18"/>
        <v>Normal</v>
      </c>
      <c r="G116" t="str">
        <f t="shared" si="19"/>
        <v/>
      </c>
      <c r="H116" t="str">
        <f t="shared" si="20"/>
        <v>N/S</v>
      </c>
      <c r="I116" t="str">
        <f t="shared" si="21"/>
        <v>Low</v>
      </c>
      <c r="J116" s="4">
        <f t="shared" si="22"/>
        <v>0.05</v>
      </c>
      <c r="K116" s="10">
        <f>IFERROR(B116/Sales!I116,0)</f>
        <v>5.7142857142857147E-4</v>
      </c>
      <c r="L116" t="b">
        <f t="shared" si="23"/>
        <v>1</v>
      </c>
    </row>
    <row r="117" spans="1:12" x14ac:dyDescent="0.35">
      <c r="A117" t="str">
        <f>Sales!A117</f>
        <v>ORD-1116</v>
      </c>
      <c r="B117">
        <f>Sales!H117</f>
        <v>16</v>
      </c>
      <c r="C117" s="4">
        <f>Sales!J117</f>
        <v>0.15</v>
      </c>
      <c r="D117" t="str">
        <f>Sales!C117</f>
        <v>West</v>
      </c>
      <c r="E117" t="str">
        <f>Sales!E117</f>
        <v>Online</v>
      </c>
      <c r="F117" t="str">
        <f t="shared" si="18"/>
        <v>Bulk</v>
      </c>
      <c r="G117" t="str">
        <f t="shared" si="19"/>
        <v>Bulk Discount</v>
      </c>
      <c r="H117" t="str">
        <f t="shared" si="20"/>
        <v>E/W</v>
      </c>
      <c r="I117" t="str">
        <f t="shared" si="21"/>
        <v>Medium</v>
      </c>
      <c r="J117" s="4">
        <f t="shared" si="22"/>
        <v>0.02</v>
      </c>
      <c r="K117" s="10">
        <f>IFERROR(B117/Sales!I117,0)</f>
        <v>2.2857142857142859E-3</v>
      </c>
      <c r="L117" t="b">
        <f t="shared" si="23"/>
        <v>1</v>
      </c>
    </row>
    <row r="118" spans="1:12" x14ac:dyDescent="0.35">
      <c r="A118" t="str">
        <f>Sales!A118</f>
        <v>ORD-1117</v>
      </c>
      <c r="B118">
        <f>Sales!H118</f>
        <v>6</v>
      </c>
      <c r="C118" s="4">
        <f>Sales!J118</f>
        <v>0</v>
      </c>
      <c r="D118" t="str">
        <f>Sales!C118</f>
        <v>North</v>
      </c>
      <c r="E118" t="str">
        <f>Sales!E118</f>
        <v>Retail Store</v>
      </c>
      <c r="F118" t="str">
        <f t="shared" si="18"/>
        <v>Normal</v>
      </c>
      <c r="G118" t="str">
        <f t="shared" si="19"/>
        <v/>
      </c>
      <c r="H118" t="str">
        <f t="shared" si="20"/>
        <v>N/S</v>
      </c>
      <c r="I118" t="str">
        <f t="shared" si="21"/>
        <v>Low</v>
      </c>
      <c r="J118" s="4">
        <f t="shared" si="22"/>
        <v>0.05</v>
      </c>
      <c r="K118" s="10">
        <f>IFERROR(B118/Sales!I118,0)</f>
        <v>8.571428571428571E-4</v>
      </c>
      <c r="L118" t="b">
        <f t="shared" si="23"/>
        <v>1</v>
      </c>
    </row>
    <row r="119" spans="1:12" x14ac:dyDescent="0.35">
      <c r="A119" t="str">
        <f>Sales!A119</f>
        <v>ORD-1118</v>
      </c>
      <c r="B119">
        <f>Sales!H119</f>
        <v>12</v>
      </c>
      <c r="C119" s="4">
        <f>Sales!J119</f>
        <v>0</v>
      </c>
      <c r="D119" t="str">
        <f>Sales!C119</f>
        <v>North</v>
      </c>
      <c r="E119" t="str">
        <f>Sales!E119</f>
        <v>Partner</v>
      </c>
      <c r="F119" t="str">
        <f t="shared" si="18"/>
        <v>Normal</v>
      </c>
      <c r="G119" t="str">
        <f t="shared" si="19"/>
        <v/>
      </c>
      <c r="H119" t="str">
        <f t="shared" si="20"/>
        <v>N/S</v>
      </c>
      <c r="I119" t="str">
        <f t="shared" si="21"/>
        <v>Medium</v>
      </c>
      <c r="J119" s="4">
        <f t="shared" si="22"/>
        <v>0.08</v>
      </c>
      <c r="K119" s="10">
        <f>IFERROR(B119/Sales!I119,0)</f>
        <v>1.411764705882353E-3</v>
      </c>
      <c r="L119" t="b">
        <f t="shared" si="23"/>
        <v>1</v>
      </c>
    </row>
    <row r="120" spans="1:12" x14ac:dyDescent="0.35">
      <c r="A120" t="str">
        <f>Sales!A120</f>
        <v>ORD-1119</v>
      </c>
      <c r="B120">
        <f>Sales!H120</f>
        <v>11</v>
      </c>
      <c r="C120" s="4">
        <f>Sales!J120</f>
        <v>0</v>
      </c>
      <c r="D120" t="str">
        <f>Sales!C120</f>
        <v>North</v>
      </c>
      <c r="E120" t="str">
        <f>Sales!E120</f>
        <v>Retail Store</v>
      </c>
      <c r="F120" t="str">
        <f t="shared" si="18"/>
        <v>Normal</v>
      </c>
      <c r="G120" t="str">
        <f t="shared" si="19"/>
        <v/>
      </c>
      <c r="H120" t="str">
        <f t="shared" si="20"/>
        <v>N/S</v>
      </c>
      <c r="I120" t="str">
        <f t="shared" si="21"/>
        <v>Medium</v>
      </c>
      <c r="J120" s="4">
        <f t="shared" si="22"/>
        <v>0.05</v>
      </c>
      <c r="K120" s="10">
        <f>IFERROR(B120/Sales!I120,0)</f>
        <v>4.5833333333333332E-4</v>
      </c>
      <c r="L120" t="b">
        <f t="shared" si="23"/>
        <v>1</v>
      </c>
    </row>
    <row r="121" spans="1:12" x14ac:dyDescent="0.35">
      <c r="A121" t="str">
        <f>Sales!A121</f>
        <v>ORD-1120</v>
      </c>
      <c r="B121">
        <f>Sales!H121</f>
        <v>2</v>
      </c>
      <c r="C121" s="4">
        <f>Sales!J121</f>
        <v>0</v>
      </c>
      <c r="D121" t="str">
        <f>Sales!C121</f>
        <v>South</v>
      </c>
      <c r="E121" t="str">
        <f>Sales!E121</f>
        <v>Retail Store</v>
      </c>
      <c r="F121" t="str">
        <f t="shared" si="18"/>
        <v>Normal</v>
      </c>
      <c r="G121" t="str">
        <f t="shared" si="19"/>
        <v/>
      </c>
      <c r="H121" t="str">
        <f t="shared" si="20"/>
        <v>N/S</v>
      </c>
      <c r="I121" t="str">
        <f t="shared" si="21"/>
        <v>Low</v>
      </c>
      <c r="J121" s="4">
        <f t="shared" si="22"/>
        <v>0.05</v>
      </c>
      <c r="K121" s="10">
        <f>IFERROR(B121/Sales!I121,0)</f>
        <v>8.0000000000000002E-3</v>
      </c>
      <c r="L121" t="b">
        <f t="shared" si="23"/>
        <v>0</v>
      </c>
    </row>
  </sheetData>
  <autoFilter ref="A1:L12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78" customWidth="1"/>
    <col min="2" max="2" width="54" customWidth="1"/>
    <col min="3" max="3" width="62" customWidth="1"/>
  </cols>
  <sheetData>
    <row r="1" spans="1:3" ht="23.5" x14ac:dyDescent="0.55000000000000004">
      <c r="A1" s="5" t="s">
        <v>248</v>
      </c>
    </row>
    <row r="2" spans="1:3" x14ac:dyDescent="0.35">
      <c r="A2" s="6" t="s">
        <v>175</v>
      </c>
      <c r="B2" s="6" t="s">
        <v>221</v>
      </c>
      <c r="C2" s="6" t="s">
        <v>222</v>
      </c>
    </row>
    <row r="3" spans="1:3" x14ac:dyDescent="0.35">
      <c r="A3" t="s">
        <v>249</v>
      </c>
      <c r="B3" t="s">
        <v>250</v>
      </c>
      <c r="C3">
        <f>VLOOKUP(Sales!G2,Products!$A$2:$D$10,4,FALSE)</f>
        <v>954</v>
      </c>
    </row>
    <row r="4" spans="1:3" x14ac:dyDescent="0.35">
      <c r="A4" t="s">
        <v>251</v>
      </c>
      <c r="B4" t="s">
        <v>252</v>
      </c>
      <c r="C4">
        <f>INDEX(Products!$D$2:$D$10,MATCH(Sales!G2,Products!$A$2:$A$10,0))</f>
        <v>954</v>
      </c>
    </row>
    <row r="5" spans="1:3" x14ac:dyDescent="0.35">
      <c r="A5" t="s">
        <v>253</v>
      </c>
      <c r="B5" t="s">
        <v>254</v>
      </c>
      <c r="C5">
        <f>INDEX(Products!$D$2:$D$10,MATCH(Sales!G2,Products!$A$2:$A$10,0))</f>
        <v>954</v>
      </c>
    </row>
    <row r="6" spans="1:3" x14ac:dyDescent="0.35">
      <c r="A6" t="s">
        <v>255</v>
      </c>
      <c r="B6" t="s">
        <v>256</v>
      </c>
      <c r="C6">
        <f>IFERROR(INDEX(Products!$D$2:$D$10,MATCH(Sales!G2,Products!$A$2:$A$10,0)),0)</f>
        <v>954</v>
      </c>
    </row>
    <row r="7" spans="1:3" x14ac:dyDescent="0.35">
      <c r="A7" t="s">
        <v>257</v>
      </c>
      <c r="B7" t="s">
        <v>258</v>
      </c>
      <c r="C7">
        <f>INDEX(Products!$D$2:$D$10,MATCH(Sales!G2,Products!$A$2:$A$10,0))</f>
        <v>954</v>
      </c>
    </row>
    <row r="8" spans="1:3" x14ac:dyDescent="0.35">
      <c r="A8" t="s">
        <v>259</v>
      </c>
      <c r="B8" t="s">
        <v>260</v>
      </c>
      <c r="C8" t="str">
        <f>CHOOSE(2,"Online","Retail Store","Partner")</f>
        <v>Retail Store</v>
      </c>
    </row>
    <row r="9" spans="1:3" x14ac:dyDescent="0.35">
      <c r="A9" t="s">
        <v>261</v>
      </c>
      <c r="B9" t="s">
        <v>262</v>
      </c>
      <c r="C9">
        <f>IFERROR(INDEX(Products!$D$2:$D$10,MATCH(Sales!G2,Products!$A$2:$A$10,0)),0)</f>
        <v>954</v>
      </c>
    </row>
    <row r="10" spans="1:3" x14ac:dyDescent="0.35">
      <c r="A10" t="s">
        <v>263</v>
      </c>
      <c r="B10" t="s">
        <v>264</v>
      </c>
      <c r="C10">
        <f>IFERROR(INDEX(Products!$D$2:$D$10,MATCH(Sales!G2,Products!$A$2:$A$10,0)),0)</f>
        <v>954</v>
      </c>
    </row>
    <row r="11" spans="1:3" x14ac:dyDescent="0.35">
      <c r="A11" t="s">
        <v>265</v>
      </c>
      <c r="B11" t="s">
        <v>266</v>
      </c>
      <c r="C11">
        <f>IFERROR(INDEX(Targets!$C$2:$C$9,MATCH(Sales!D2,Targets!$B$2:$B$9,0)),0)</f>
        <v>250000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4" customWidth="1"/>
    <col min="3" max="3" width="14" customWidth="1"/>
    <col min="4" max="5" width="18" customWidth="1"/>
    <col min="6" max="7" width="20" customWidth="1"/>
  </cols>
  <sheetData>
    <row r="1" spans="1:7" x14ac:dyDescent="0.35">
      <c r="A1" s="1" t="s">
        <v>0</v>
      </c>
      <c r="B1" s="1" t="s">
        <v>6</v>
      </c>
      <c r="C1" s="1" t="s">
        <v>163</v>
      </c>
      <c r="D1" s="1" t="s">
        <v>3</v>
      </c>
      <c r="E1" s="1" t="s">
        <v>164</v>
      </c>
      <c r="F1" s="1" t="s">
        <v>267</v>
      </c>
      <c r="G1" s="1" t="s">
        <v>268</v>
      </c>
    </row>
    <row r="2" spans="1:7" x14ac:dyDescent="0.35">
      <c r="A2" t="str">
        <f>Sales!A2</f>
        <v>ORD-1001</v>
      </c>
      <c r="B2" t="str">
        <f>Sales!G2</f>
        <v>Wireless Mouse</v>
      </c>
      <c r="C2" s="3">
        <f>IFERROR(INDEX(Products!$D$2:$D$10,MATCH(B2,Products!$A$2:$A$10,0)),0)</f>
        <v>954</v>
      </c>
      <c r="D2" t="str">
        <f>Sales!D2</f>
        <v>Priya Nair</v>
      </c>
      <c r="E2" s="3">
        <f>IFERROR(INDEX(Targets!$C$2:$C$9,MATCH(D2,Targets!$B$2:$B$9,0)),0)</f>
        <v>250000</v>
      </c>
      <c r="F2" t="s">
        <v>269</v>
      </c>
      <c r="G2" t="s">
        <v>269</v>
      </c>
    </row>
    <row r="3" spans="1:7" x14ac:dyDescent="0.35">
      <c r="A3" t="str">
        <f>Sales!A3</f>
        <v>ORD-1002</v>
      </c>
      <c r="B3" t="str">
        <f>Sales!G3</f>
        <v>Filing Cabinet</v>
      </c>
      <c r="C3" s="3">
        <f>IFERROR(INDEX(Products!$D$2:$D$10,MATCH(B3,Products!$A$2:$A$10,0)),0)</f>
        <v>4582</v>
      </c>
      <c r="D3" t="str">
        <f>Sales!D3</f>
        <v>Priya Nair</v>
      </c>
      <c r="E3" s="3">
        <f>IFERROR(INDEX(Targets!$C$2:$C$9,MATCH(D3,Targets!$B$2:$B$9,0)),0)</f>
        <v>250000</v>
      </c>
      <c r="F3" t="s">
        <v>269</v>
      </c>
      <c r="G3" t="s">
        <v>269</v>
      </c>
    </row>
    <row r="4" spans="1:7" x14ac:dyDescent="0.35">
      <c r="A4" t="str">
        <f>Sales!A4</f>
        <v>ORD-1003</v>
      </c>
      <c r="B4" t="str">
        <f>Sales!G4</f>
        <v>Gel Pen Pack</v>
      </c>
      <c r="C4" s="3">
        <f>IFERROR(INDEX(Products!$D$2:$D$10,MATCH(B4,Products!$A$2:$A$10,0)),0)</f>
        <v>143</v>
      </c>
      <c r="D4" t="str">
        <f>Sales!D4</f>
        <v>Ananya Joshi</v>
      </c>
      <c r="E4" s="3">
        <f>IFERROR(INDEX(Targets!$C$2:$C$9,MATCH(D4,Targets!$B$2:$B$9,0)),0)</f>
        <v>150000</v>
      </c>
      <c r="F4" t="s">
        <v>269</v>
      </c>
      <c r="G4" t="s">
        <v>269</v>
      </c>
    </row>
    <row r="5" spans="1:7" x14ac:dyDescent="0.35">
      <c r="A5" t="str">
        <f>Sales!A5</f>
        <v>ORD-1004</v>
      </c>
      <c r="B5" t="str">
        <f>Sales!G5</f>
        <v>Standing Desk</v>
      </c>
      <c r="C5" s="3">
        <f>IFERROR(INDEX(Products!$D$2:$D$10,MATCH(B5,Products!$A$2:$A$10,0)),0)</f>
        <v>13587</v>
      </c>
      <c r="D5" t="str">
        <f>Sales!D5</f>
        <v>Rahul Iyer</v>
      </c>
      <c r="E5" s="3">
        <f>IFERROR(INDEX(Targets!$C$2:$C$9,MATCH(D5,Targets!$B$2:$B$9,0)),0)</f>
        <v>150000</v>
      </c>
      <c r="F5" t="s">
        <v>269</v>
      </c>
      <c r="G5" t="s">
        <v>269</v>
      </c>
    </row>
    <row r="6" spans="1:7" x14ac:dyDescent="0.35">
      <c r="A6" t="str">
        <f>Sales!A6</f>
        <v>ORD-1005</v>
      </c>
      <c r="B6" t="str">
        <f>Sales!G6</f>
        <v>Noise Cancel Headset</v>
      </c>
      <c r="C6" s="3">
        <f>IFERROR(INDEX(Products!$D$2:$D$10,MATCH(B6,Products!$A$2:$A$10,0)),0)</f>
        <v>4714</v>
      </c>
      <c r="D6" t="str">
        <f>Sales!D6</f>
        <v>Kabir Das</v>
      </c>
      <c r="E6" s="3">
        <f>IFERROR(INDEX(Targets!$C$2:$C$9,MATCH(D6,Targets!$B$2:$B$9,0)),0)</f>
        <v>150000</v>
      </c>
      <c r="F6" t="s">
        <v>269</v>
      </c>
      <c r="G6" t="s">
        <v>269</v>
      </c>
    </row>
    <row r="7" spans="1:7" x14ac:dyDescent="0.35">
      <c r="A7" t="str">
        <f>Sales!A7</f>
        <v>ORD-1006</v>
      </c>
      <c r="B7" t="str">
        <f>Sales!G7</f>
        <v>Noise Cancel Headset</v>
      </c>
      <c r="C7" s="3">
        <f>IFERROR(INDEX(Products!$D$2:$D$10,MATCH(B7,Products!$A$2:$A$10,0)),0)</f>
        <v>4714</v>
      </c>
      <c r="D7" t="str">
        <f>Sales!D7</f>
        <v>Vikram Shah</v>
      </c>
      <c r="E7" s="3">
        <f>IFERROR(INDEX(Targets!$C$2:$C$9,MATCH(D7,Targets!$B$2:$B$9,0)),0)</f>
        <v>300000</v>
      </c>
      <c r="F7" t="s">
        <v>269</v>
      </c>
      <c r="G7" t="s">
        <v>269</v>
      </c>
    </row>
    <row r="8" spans="1:7" x14ac:dyDescent="0.35">
      <c r="A8" t="str">
        <f>Sales!A8</f>
        <v>ORD-1007</v>
      </c>
      <c r="B8" t="str">
        <f>Sales!G8</f>
        <v>Gel Pen Pack</v>
      </c>
      <c r="C8" s="3">
        <f>IFERROR(INDEX(Products!$D$2:$D$10,MATCH(B8,Products!$A$2:$A$10,0)),0)</f>
        <v>143</v>
      </c>
      <c r="D8" t="str">
        <f>Sales!D8</f>
        <v>Meera Sen</v>
      </c>
      <c r="E8" s="3">
        <f>IFERROR(INDEX(Targets!$C$2:$C$9,MATCH(D8,Targets!$B$2:$B$9,0)),0)</f>
        <v>200000</v>
      </c>
      <c r="F8" t="s">
        <v>269</v>
      </c>
      <c r="G8" t="s">
        <v>269</v>
      </c>
    </row>
    <row r="9" spans="1:7" x14ac:dyDescent="0.35">
      <c r="A9" t="str">
        <f>Sales!A9</f>
        <v>ORD-1008</v>
      </c>
      <c r="B9" t="str">
        <f>Sales!G9</f>
        <v>Wireless Mouse</v>
      </c>
      <c r="C9" s="3">
        <f>IFERROR(INDEX(Products!$D$2:$D$10,MATCH(B9,Products!$A$2:$A$10,0)),0)</f>
        <v>954</v>
      </c>
      <c r="D9" t="str">
        <f>Sales!D9</f>
        <v>Sneha Rao</v>
      </c>
      <c r="E9" s="3">
        <f>IFERROR(INDEX(Targets!$C$2:$C$9,MATCH(D9,Targets!$B$2:$B$9,0)),0)</f>
        <v>300000</v>
      </c>
      <c r="F9" t="s">
        <v>269</v>
      </c>
      <c r="G9" t="s">
        <v>269</v>
      </c>
    </row>
    <row r="10" spans="1:7" x14ac:dyDescent="0.35">
      <c r="A10" t="str">
        <f>Sales!A10</f>
        <v>ORD-1009</v>
      </c>
      <c r="B10" t="str">
        <f>Sales!G10</f>
        <v>Notebook Set</v>
      </c>
      <c r="C10" s="3">
        <f>IFERROR(INDEX(Products!$D$2:$D$10,MATCH(B10,Products!$A$2:$A$10,0)),0)</f>
        <v>419</v>
      </c>
      <c r="D10" t="str">
        <f>Sales!D10</f>
        <v>Rahul Iyer</v>
      </c>
      <c r="E10" s="3">
        <f>IFERROR(INDEX(Targets!$C$2:$C$9,MATCH(D10,Targets!$B$2:$B$9,0)),0)</f>
        <v>150000</v>
      </c>
      <c r="F10" t="s">
        <v>269</v>
      </c>
      <c r="G10" t="s">
        <v>269</v>
      </c>
    </row>
    <row r="11" spans="1:7" x14ac:dyDescent="0.35">
      <c r="A11" t="str">
        <f>Sales!A11</f>
        <v>ORD-1010</v>
      </c>
      <c r="B11" t="str">
        <f>Sales!G11</f>
        <v>Filing Cabinet</v>
      </c>
      <c r="C11" s="3">
        <f>IFERROR(INDEX(Products!$D$2:$D$10,MATCH(B11,Products!$A$2:$A$10,0)),0)</f>
        <v>4582</v>
      </c>
      <c r="D11" t="str">
        <f>Sales!D11</f>
        <v>Kabir Das</v>
      </c>
      <c r="E11" s="3">
        <f>IFERROR(INDEX(Targets!$C$2:$C$9,MATCH(D11,Targets!$B$2:$B$9,0)),0)</f>
        <v>150000</v>
      </c>
      <c r="F11" t="s">
        <v>269</v>
      </c>
      <c r="G11" t="s">
        <v>269</v>
      </c>
    </row>
    <row r="12" spans="1:7" x14ac:dyDescent="0.35">
      <c r="A12" t="str">
        <f>Sales!A12</f>
        <v>ORD-1011</v>
      </c>
      <c r="B12" t="str">
        <f>Sales!G12</f>
        <v>Laptop Pro 14</v>
      </c>
      <c r="C12" s="3">
        <f>IFERROR(INDEX(Products!$D$2:$D$10,MATCH(B12,Products!$A$2:$A$10,0)),0)</f>
        <v>65726</v>
      </c>
      <c r="D12" t="str">
        <f>Sales!D12</f>
        <v>Vikram Shah</v>
      </c>
      <c r="E12" s="3">
        <f>IFERROR(INDEX(Targets!$C$2:$C$9,MATCH(D12,Targets!$B$2:$B$9,0)),0)</f>
        <v>300000</v>
      </c>
      <c r="F12" t="s">
        <v>269</v>
      </c>
      <c r="G12" t="s">
        <v>269</v>
      </c>
    </row>
    <row r="13" spans="1:7" x14ac:dyDescent="0.35">
      <c r="A13" t="str">
        <f>Sales!A13</f>
        <v>ORD-1012</v>
      </c>
      <c r="B13" t="str">
        <f>Sales!G13</f>
        <v>Laptop Pro 14</v>
      </c>
      <c r="C13" s="3">
        <f>IFERROR(INDEX(Products!$D$2:$D$10,MATCH(B13,Products!$A$2:$A$10,0)),0)</f>
        <v>65726</v>
      </c>
      <c r="D13" t="str">
        <f>Sales!D13</f>
        <v>Priya Nair</v>
      </c>
      <c r="E13" s="3">
        <f>IFERROR(INDEX(Targets!$C$2:$C$9,MATCH(D13,Targets!$B$2:$B$9,0)),0)</f>
        <v>250000</v>
      </c>
      <c r="F13" t="s">
        <v>269</v>
      </c>
      <c r="G13" t="s">
        <v>269</v>
      </c>
    </row>
    <row r="14" spans="1:7" x14ac:dyDescent="0.35">
      <c r="A14" t="str">
        <f>Sales!A14</f>
        <v>ORD-1013</v>
      </c>
      <c r="B14" t="str">
        <f>Sales!G14</f>
        <v>Standing Desk</v>
      </c>
      <c r="C14" s="3">
        <f>IFERROR(INDEX(Products!$D$2:$D$10,MATCH(B14,Products!$A$2:$A$10,0)),0)</f>
        <v>13587</v>
      </c>
      <c r="D14" t="str">
        <f>Sales!D14</f>
        <v>Ananya Joshi</v>
      </c>
      <c r="E14" s="3">
        <f>IFERROR(INDEX(Targets!$C$2:$C$9,MATCH(D14,Targets!$B$2:$B$9,0)),0)</f>
        <v>150000</v>
      </c>
      <c r="F14" t="s">
        <v>269</v>
      </c>
      <c r="G14" t="s">
        <v>269</v>
      </c>
    </row>
    <row r="15" spans="1:7" x14ac:dyDescent="0.35">
      <c r="A15" t="str">
        <f>Sales!A15</f>
        <v>ORD-1014</v>
      </c>
      <c r="B15" t="str">
        <f>Sales!G15</f>
        <v>Noise Cancel Headset</v>
      </c>
      <c r="C15" s="3">
        <f>IFERROR(INDEX(Products!$D$2:$D$10,MATCH(B15,Products!$A$2:$A$10,0)),0)</f>
        <v>4714</v>
      </c>
      <c r="D15" t="str">
        <f>Sales!D15</f>
        <v>Sneha Rao</v>
      </c>
      <c r="E15" s="3">
        <f>IFERROR(INDEX(Targets!$C$2:$C$9,MATCH(D15,Targets!$B$2:$B$9,0)),0)</f>
        <v>300000</v>
      </c>
      <c r="F15" t="s">
        <v>269</v>
      </c>
      <c r="G15" t="s">
        <v>269</v>
      </c>
    </row>
    <row r="16" spans="1:7" x14ac:dyDescent="0.35">
      <c r="A16" t="str">
        <f>Sales!A16</f>
        <v>ORD-1015</v>
      </c>
      <c r="B16" t="str">
        <f>Sales!G16</f>
        <v>Laptop Pro 14</v>
      </c>
      <c r="C16" s="3">
        <f>IFERROR(INDEX(Products!$D$2:$D$10,MATCH(B16,Products!$A$2:$A$10,0)),0)</f>
        <v>65726</v>
      </c>
      <c r="D16" t="str">
        <f>Sales!D16</f>
        <v>Priya Nair</v>
      </c>
      <c r="E16" s="3">
        <f>IFERROR(INDEX(Targets!$C$2:$C$9,MATCH(D16,Targets!$B$2:$B$9,0)),0)</f>
        <v>250000</v>
      </c>
      <c r="F16" t="s">
        <v>269</v>
      </c>
      <c r="G16" t="s">
        <v>269</v>
      </c>
    </row>
    <row r="17" spans="1:7" x14ac:dyDescent="0.35">
      <c r="A17" t="str">
        <f>Sales!A17</f>
        <v>ORD-1016</v>
      </c>
      <c r="B17" t="str">
        <f>Sales!G17</f>
        <v>Gel Pen Pack</v>
      </c>
      <c r="C17" s="3">
        <f>IFERROR(INDEX(Products!$D$2:$D$10,MATCH(B17,Products!$A$2:$A$10,0)),0)</f>
        <v>143</v>
      </c>
      <c r="D17" t="str">
        <f>Sales!D17</f>
        <v>Kabir Das</v>
      </c>
      <c r="E17" s="3">
        <f>IFERROR(INDEX(Targets!$C$2:$C$9,MATCH(D17,Targets!$B$2:$B$9,0)),0)</f>
        <v>150000</v>
      </c>
      <c r="F17" t="s">
        <v>269</v>
      </c>
      <c r="G17" t="s">
        <v>269</v>
      </c>
    </row>
    <row r="18" spans="1:7" x14ac:dyDescent="0.35">
      <c r="A18" t="str">
        <f>Sales!A18</f>
        <v>ORD-1017</v>
      </c>
      <c r="B18" t="str">
        <f>Sales!G18</f>
        <v>Office Chair</v>
      </c>
      <c r="C18" s="3">
        <f>IFERROR(INDEX(Products!$D$2:$D$10,MATCH(B18,Products!$A$2:$A$10,0)),0)</f>
        <v>8805</v>
      </c>
      <c r="D18" t="str">
        <f>Sales!D18</f>
        <v>Aarav Mehta_01</v>
      </c>
      <c r="E18" s="3">
        <f>IFERROR(INDEX(Targets!$C$2:$C$9,MATCH(D18,Targets!$B$2:$B$9,0)),0)</f>
        <v>0</v>
      </c>
      <c r="F18" t="s">
        <v>269</v>
      </c>
      <c r="G18" t="s">
        <v>269</v>
      </c>
    </row>
    <row r="19" spans="1:7" x14ac:dyDescent="0.35">
      <c r="A19" t="str">
        <f>Sales!A19</f>
        <v>ORD-1018</v>
      </c>
      <c r="B19" t="str">
        <f>Sales!G19</f>
        <v>Filing Cabinet</v>
      </c>
      <c r="C19" s="3">
        <f>IFERROR(INDEX(Products!$D$2:$D$10,MATCH(B19,Products!$A$2:$A$10,0)),0)</f>
        <v>4582</v>
      </c>
      <c r="D19" t="str">
        <f>Sales!D19</f>
        <v>Rahul Iyer</v>
      </c>
      <c r="E19" s="3">
        <f>IFERROR(INDEX(Targets!$C$2:$C$9,MATCH(D19,Targets!$B$2:$B$9,0)),0)</f>
        <v>150000</v>
      </c>
      <c r="F19" t="s">
        <v>269</v>
      </c>
      <c r="G19" t="s">
        <v>269</v>
      </c>
    </row>
    <row r="20" spans="1:7" x14ac:dyDescent="0.35">
      <c r="A20" t="str">
        <f>Sales!A20</f>
        <v>ORD-1019</v>
      </c>
      <c r="B20" t="str">
        <f>Sales!G20</f>
        <v>Office Chair</v>
      </c>
      <c r="C20" s="3">
        <f>IFERROR(INDEX(Products!$D$2:$D$10,MATCH(B20,Products!$A$2:$A$10,0)),0)</f>
        <v>8805</v>
      </c>
      <c r="D20" t="str">
        <f>Sales!D20</f>
        <v>Aarav Mehta</v>
      </c>
      <c r="E20" s="3">
        <f>IFERROR(INDEX(Targets!$C$2:$C$9,MATCH(D20,Targets!$B$2:$B$9,0)),0)</f>
        <v>300000</v>
      </c>
      <c r="F20" t="s">
        <v>269</v>
      </c>
      <c r="G20" t="s">
        <v>269</v>
      </c>
    </row>
    <row r="21" spans="1:7" x14ac:dyDescent="0.35">
      <c r="A21" t="str">
        <f>Sales!A21</f>
        <v>ORD-1020</v>
      </c>
      <c r="B21" t="str">
        <f>Sales!G21</f>
        <v>Standing Desk</v>
      </c>
      <c r="C21" s="3">
        <f>IFERROR(INDEX(Products!$D$2:$D$10,MATCH(B21,Products!$A$2:$A$10,0)),0)</f>
        <v>13587</v>
      </c>
      <c r="D21" t="str">
        <f>Sales!D21</f>
        <v>Aarav Mehta</v>
      </c>
      <c r="E21" s="3">
        <f>IFERROR(INDEX(Targets!$C$2:$C$9,MATCH(D21,Targets!$B$2:$B$9,0)),0)</f>
        <v>300000</v>
      </c>
      <c r="F21" t="s">
        <v>269</v>
      </c>
      <c r="G21" t="s">
        <v>269</v>
      </c>
    </row>
    <row r="22" spans="1:7" x14ac:dyDescent="0.35">
      <c r="A22" t="str">
        <f>Sales!A22</f>
        <v>ORD-1021</v>
      </c>
      <c r="B22" t="str">
        <f>Sales!G22</f>
        <v>Filing Cabinet</v>
      </c>
      <c r="C22" s="3">
        <f>IFERROR(INDEX(Products!$D$2:$D$10,MATCH(B22,Products!$A$2:$A$10,0)),0)</f>
        <v>4582</v>
      </c>
      <c r="D22" t="str">
        <f>Sales!D22</f>
        <v>Priya Nair</v>
      </c>
      <c r="E22" s="3">
        <f>IFERROR(INDEX(Targets!$C$2:$C$9,MATCH(D22,Targets!$B$2:$B$9,0)),0)</f>
        <v>250000</v>
      </c>
      <c r="F22" t="s">
        <v>269</v>
      </c>
      <c r="G22" t="s">
        <v>269</v>
      </c>
    </row>
    <row r="23" spans="1:7" x14ac:dyDescent="0.35">
      <c r="A23" t="str">
        <f>Sales!A23</f>
        <v>ORD-1022</v>
      </c>
      <c r="B23" t="str">
        <f>Sales!G23</f>
        <v>Notebook Set</v>
      </c>
      <c r="C23" s="3">
        <f>IFERROR(INDEX(Products!$D$2:$D$10,MATCH(B23,Products!$A$2:$A$10,0)),0)</f>
        <v>419</v>
      </c>
      <c r="D23" t="str">
        <f>Sales!D23</f>
        <v>Sneha Rao</v>
      </c>
      <c r="E23" s="3">
        <f>IFERROR(INDEX(Targets!$C$2:$C$9,MATCH(D23,Targets!$B$2:$B$9,0)),0)</f>
        <v>300000</v>
      </c>
      <c r="F23" t="s">
        <v>269</v>
      </c>
      <c r="G23" t="s">
        <v>269</v>
      </c>
    </row>
    <row r="24" spans="1:7" x14ac:dyDescent="0.35">
      <c r="A24" t="str">
        <f>Sales!A24</f>
        <v>ORD-1023</v>
      </c>
      <c r="B24" t="str">
        <f>Sales!G24</f>
        <v>Office Chair</v>
      </c>
      <c r="C24" s="3">
        <f>IFERROR(INDEX(Products!$D$2:$D$10,MATCH(B24,Products!$A$2:$A$10,0)),0)</f>
        <v>8805</v>
      </c>
      <c r="D24" t="str">
        <f>Sales!D24</f>
        <v>Meera Sen</v>
      </c>
      <c r="E24" s="3">
        <f>IFERROR(INDEX(Targets!$C$2:$C$9,MATCH(D24,Targets!$B$2:$B$9,0)),0)</f>
        <v>200000</v>
      </c>
      <c r="F24" t="s">
        <v>269</v>
      </c>
      <c r="G24" t="s">
        <v>269</v>
      </c>
    </row>
    <row r="25" spans="1:7" x14ac:dyDescent="0.35">
      <c r="A25" t="str">
        <f>Sales!A25</f>
        <v>ORD-1024</v>
      </c>
      <c r="B25" t="str">
        <f>Sales!G25</f>
        <v>Office Chair</v>
      </c>
      <c r="C25" s="3">
        <f>IFERROR(INDEX(Products!$D$2:$D$10,MATCH(B25,Products!$A$2:$A$10,0)),0)</f>
        <v>8805</v>
      </c>
      <c r="D25" t="str">
        <f>Sales!D25</f>
        <v>Vikram Shah</v>
      </c>
      <c r="E25" s="3">
        <f>IFERROR(INDEX(Targets!$C$2:$C$9,MATCH(D25,Targets!$B$2:$B$9,0)),0)</f>
        <v>300000</v>
      </c>
      <c r="F25" t="s">
        <v>269</v>
      </c>
      <c r="G25" t="s">
        <v>269</v>
      </c>
    </row>
    <row r="26" spans="1:7" x14ac:dyDescent="0.35">
      <c r="A26" t="str">
        <f>Sales!A26</f>
        <v>ORD-1025</v>
      </c>
      <c r="B26" t="str">
        <f>Sales!G26</f>
        <v>Noise Cancel Headset</v>
      </c>
      <c r="C26" s="3">
        <f>IFERROR(INDEX(Products!$D$2:$D$10,MATCH(B26,Products!$A$2:$A$10,0)),0)</f>
        <v>4714</v>
      </c>
      <c r="D26" t="str">
        <f>Sales!D26</f>
        <v>Sneha Rao</v>
      </c>
      <c r="E26" s="3">
        <f>IFERROR(INDEX(Targets!$C$2:$C$9,MATCH(D26,Targets!$B$2:$B$9,0)),0)</f>
        <v>300000</v>
      </c>
      <c r="F26" t="s">
        <v>269</v>
      </c>
      <c r="G26" t="s">
        <v>269</v>
      </c>
    </row>
    <row r="27" spans="1:7" x14ac:dyDescent="0.35">
      <c r="A27" t="str">
        <f>Sales!A27</f>
        <v>ORD-1026</v>
      </c>
      <c r="B27" t="str">
        <f>Sales!G27</f>
        <v>Laptop Pro 14</v>
      </c>
      <c r="C27" s="3">
        <f>IFERROR(INDEX(Products!$D$2:$D$10,MATCH(B27,Products!$A$2:$A$10,0)),0)</f>
        <v>65726</v>
      </c>
      <c r="D27" t="str">
        <f>Sales!D27</f>
        <v>Sneha Rao</v>
      </c>
      <c r="E27" s="3">
        <f>IFERROR(INDEX(Targets!$C$2:$C$9,MATCH(D27,Targets!$B$2:$B$9,0)),0)</f>
        <v>300000</v>
      </c>
      <c r="F27" t="s">
        <v>269</v>
      </c>
      <c r="G27" t="s">
        <v>269</v>
      </c>
    </row>
    <row r="28" spans="1:7" x14ac:dyDescent="0.35">
      <c r="A28" t="str">
        <f>Sales!A28</f>
        <v>ORD-1027</v>
      </c>
      <c r="B28" t="str">
        <f>Sales!G28</f>
        <v>Filing Cabinet</v>
      </c>
      <c r="C28" s="3">
        <f>IFERROR(INDEX(Products!$D$2:$D$10,MATCH(B28,Products!$A$2:$A$10,0)),0)</f>
        <v>4582</v>
      </c>
      <c r="D28" t="str">
        <f>Sales!D28</f>
        <v>Rahul Iyer</v>
      </c>
      <c r="E28" s="3">
        <f>IFERROR(INDEX(Targets!$C$2:$C$9,MATCH(D28,Targets!$B$2:$B$9,0)),0)</f>
        <v>150000</v>
      </c>
      <c r="F28" t="s">
        <v>269</v>
      </c>
      <c r="G28" t="s">
        <v>269</v>
      </c>
    </row>
    <row r="29" spans="1:7" x14ac:dyDescent="0.35">
      <c r="A29" t="str">
        <f>Sales!A29</f>
        <v>ORD-1028</v>
      </c>
      <c r="B29" t="str">
        <f>Sales!G29</f>
        <v>Wireless Mouse</v>
      </c>
      <c r="C29" s="3">
        <f>IFERROR(INDEX(Products!$D$2:$D$10,MATCH(B29,Products!$A$2:$A$10,0)),0)</f>
        <v>954</v>
      </c>
      <c r="D29" t="str">
        <f>Sales!D29</f>
        <v>Aarav Mehta</v>
      </c>
      <c r="E29" s="3">
        <f>IFERROR(INDEX(Targets!$C$2:$C$9,MATCH(D29,Targets!$B$2:$B$9,0)),0)</f>
        <v>300000</v>
      </c>
      <c r="F29" t="s">
        <v>269</v>
      </c>
      <c r="G29" t="s">
        <v>269</v>
      </c>
    </row>
    <row r="30" spans="1:7" x14ac:dyDescent="0.35">
      <c r="A30" t="str">
        <f>Sales!A30</f>
        <v>ORD-1029</v>
      </c>
      <c r="B30" t="str">
        <f>Sales!G30</f>
        <v>Gel Pen Pack</v>
      </c>
      <c r="C30" s="3">
        <f>IFERROR(INDEX(Products!$D$2:$D$10,MATCH(B30,Products!$A$2:$A$10,0)),0)</f>
        <v>143</v>
      </c>
      <c r="D30" t="str">
        <f>Sales!D30</f>
        <v>Rahul Iyer</v>
      </c>
      <c r="E30" s="3">
        <f>IFERROR(INDEX(Targets!$C$2:$C$9,MATCH(D30,Targets!$B$2:$B$9,0)),0)</f>
        <v>150000</v>
      </c>
      <c r="F30" t="s">
        <v>269</v>
      </c>
      <c r="G30" t="s">
        <v>269</v>
      </c>
    </row>
    <row r="31" spans="1:7" x14ac:dyDescent="0.35">
      <c r="A31" t="str">
        <f>Sales!A31</f>
        <v>ORD-1030</v>
      </c>
      <c r="B31" t="str">
        <f>Sales!G31</f>
        <v>Filing Cabinet</v>
      </c>
      <c r="C31" s="3">
        <f>IFERROR(INDEX(Products!$D$2:$D$10,MATCH(B31,Products!$A$2:$A$10,0)),0)</f>
        <v>4582</v>
      </c>
      <c r="D31" t="str">
        <f>Sales!D31</f>
        <v>Rahul Iyer</v>
      </c>
      <c r="E31" s="3">
        <f>IFERROR(INDEX(Targets!$C$2:$C$9,MATCH(D31,Targets!$B$2:$B$9,0)),0)</f>
        <v>150000</v>
      </c>
      <c r="F31" t="s">
        <v>269</v>
      </c>
      <c r="G31" t="s">
        <v>269</v>
      </c>
    </row>
    <row r="32" spans="1:7" x14ac:dyDescent="0.35">
      <c r="A32" t="str">
        <f>Sales!A32</f>
        <v>ORD-1031</v>
      </c>
      <c r="B32" t="str">
        <f>Sales!G32</f>
        <v>A4 Paper Ream</v>
      </c>
      <c r="C32" s="3">
        <f>IFERROR(INDEX(Products!$D$2:$D$10,MATCH(B32,Products!$A$2:$A$10,0)),0)</f>
        <v>259</v>
      </c>
      <c r="D32" t="str">
        <f>Sales!D32</f>
        <v>Ananya Joshi</v>
      </c>
      <c r="E32" s="3">
        <f>IFERROR(INDEX(Targets!$C$2:$C$9,MATCH(D32,Targets!$B$2:$B$9,0)),0)</f>
        <v>150000</v>
      </c>
      <c r="F32" t="s">
        <v>269</v>
      </c>
      <c r="G32" t="s">
        <v>269</v>
      </c>
    </row>
    <row r="33" spans="1:7" x14ac:dyDescent="0.35">
      <c r="A33" t="str">
        <f>Sales!A33</f>
        <v>ORD-1032</v>
      </c>
      <c r="B33" t="str">
        <f>Sales!G33</f>
        <v>Filing Cabinet</v>
      </c>
      <c r="C33" s="3">
        <f>IFERROR(INDEX(Products!$D$2:$D$10,MATCH(B33,Products!$A$2:$A$10,0)),0)</f>
        <v>4582</v>
      </c>
      <c r="D33" t="str">
        <f>Sales!D33</f>
        <v>Vikram Shah</v>
      </c>
      <c r="E33" s="3">
        <f>IFERROR(INDEX(Targets!$C$2:$C$9,MATCH(D33,Targets!$B$2:$B$9,0)),0)</f>
        <v>300000</v>
      </c>
      <c r="F33" t="s">
        <v>269</v>
      </c>
      <c r="G33" t="s">
        <v>269</v>
      </c>
    </row>
    <row r="34" spans="1:7" x14ac:dyDescent="0.35">
      <c r="A34" t="str">
        <f>Sales!A34</f>
        <v>ORD-1033</v>
      </c>
      <c r="B34" t="str">
        <f>Sales!G34</f>
        <v>Standing Desk</v>
      </c>
      <c r="C34" s="3">
        <f>IFERROR(INDEX(Products!$D$2:$D$10,MATCH(B34,Products!$A$2:$A$10,0)),0)</f>
        <v>13587</v>
      </c>
      <c r="D34" t="str">
        <f>Sales!D34</f>
        <v>Sneha Rao</v>
      </c>
      <c r="E34" s="3">
        <f>IFERROR(INDEX(Targets!$C$2:$C$9,MATCH(D34,Targets!$B$2:$B$9,0)),0)</f>
        <v>300000</v>
      </c>
      <c r="F34" t="s">
        <v>269</v>
      </c>
      <c r="G34" t="s">
        <v>269</v>
      </c>
    </row>
    <row r="35" spans="1:7" x14ac:dyDescent="0.35">
      <c r="A35" t="str">
        <f>Sales!A35</f>
        <v>ORD-1034</v>
      </c>
      <c r="B35" t="str">
        <f>Sales!G35</f>
        <v>Notebook Set</v>
      </c>
      <c r="C35" s="3">
        <f>IFERROR(INDEX(Products!$D$2:$D$10,MATCH(B35,Products!$A$2:$A$10,0)),0)</f>
        <v>419</v>
      </c>
      <c r="D35" t="str">
        <f>Sales!D35</f>
        <v>Kabir Das</v>
      </c>
      <c r="E35" s="3">
        <f>IFERROR(INDEX(Targets!$C$2:$C$9,MATCH(D35,Targets!$B$2:$B$9,0)),0)</f>
        <v>150000</v>
      </c>
      <c r="F35" t="s">
        <v>269</v>
      </c>
      <c r="G35" t="s">
        <v>269</v>
      </c>
    </row>
    <row r="36" spans="1:7" x14ac:dyDescent="0.35">
      <c r="A36" t="str">
        <f>Sales!A36</f>
        <v>ORD-1035</v>
      </c>
      <c r="B36" t="str">
        <f>Sales!G36</f>
        <v>Office Chair</v>
      </c>
      <c r="C36" s="3">
        <f>IFERROR(INDEX(Products!$D$2:$D$10,MATCH(B36,Products!$A$2:$A$10,0)),0)</f>
        <v>8805</v>
      </c>
      <c r="D36" t="str">
        <f>Sales!D36</f>
        <v>Meera Sen</v>
      </c>
      <c r="E36" s="3">
        <f>IFERROR(INDEX(Targets!$C$2:$C$9,MATCH(D36,Targets!$B$2:$B$9,0)),0)</f>
        <v>200000</v>
      </c>
      <c r="F36" t="s">
        <v>269</v>
      </c>
      <c r="G36" t="s">
        <v>269</v>
      </c>
    </row>
    <row r="37" spans="1:7" x14ac:dyDescent="0.35">
      <c r="A37" t="str">
        <f>Sales!A37</f>
        <v>ORD-1036</v>
      </c>
      <c r="B37" t="str">
        <f>Sales!G37</f>
        <v>Wireless Mouse</v>
      </c>
      <c r="C37" s="3">
        <f>IFERROR(INDEX(Products!$D$2:$D$10,MATCH(B37,Products!$A$2:$A$10,0)),0)</f>
        <v>954</v>
      </c>
      <c r="D37" t="str">
        <f>Sales!D37</f>
        <v>Sneha Rao</v>
      </c>
      <c r="E37" s="3">
        <f>IFERROR(INDEX(Targets!$C$2:$C$9,MATCH(D37,Targets!$B$2:$B$9,0)),0)</f>
        <v>300000</v>
      </c>
      <c r="F37" t="s">
        <v>269</v>
      </c>
      <c r="G37" t="s">
        <v>269</v>
      </c>
    </row>
    <row r="38" spans="1:7" x14ac:dyDescent="0.35">
      <c r="A38" t="str">
        <f>Sales!A38</f>
        <v>ORD-1037</v>
      </c>
      <c r="B38" t="str">
        <f>Sales!G38</f>
        <v>Laptop Pro 14</v>
      </c>
      <c r="C38" s="3">
        <f>IFERROR(INDEX(Products!$D$2:$D$10,MATCH(B38,Products!$A$2:$A$10,0)),0)</f>
        <v>65726</v>
      </c>
      <c r="D38" t="str">
        <f>Sales!D38</f>
        <v>Ananya Joshi</v>
      </c>
      <c r="E38" s="3">
        <f>IFERROR(INDEX(Targets!$C$2:$C$9,MATCH(D38,Targets!$B$2:$B$9,0)),0)</f>
        <v>150000</v>
      </c>
      <c r="F38" t="s">
        <v>269</v>
      </c>
      <c r="G38" t="s">
        <v>269</v>
      </c>
    </row>
    <row r="39" spans="1:7" x14ac:dyDescent="0.35">
      <c r="A39" t="str">
        <f>Sales!A39</f>
        <v>ORD-1038</v>
      </c>
      <c r="B39" t="str">
        <f>Sales!G39</f>
        <v>Notebook Set</v>
      </c>
      <c r="C39" s="3">
        <f>IFERROR(INDEX(Products!$D$2:$D$10,MATCH(B39,Products!$A$2:$A$10,0)),0)</f>
        <v>419</v>
      </c>
      <c r="D39" t="str">
        <f>Sales!D39</f>
        <v>Aarav Mehta</v>
      </c>
      <c r="E39" s="3">
        <f>IFERROR(INDEX(Targets!$C$2:$C$9,MATCH(D39,Targets!$B$2:$B$9,0)),0)</f>
        <v>300000</v>
      </c>
      <c r="F39" t="s">
        <v>269</v>
      </c>
      <c r="G39" t="s">
        <v>269</v>
      </c>
    </row>
    <row r="40" spans="1:7" x14ac:dyDescent="0.35">
      <c r="A40" t="str">
        <f>Sales!A40</f>
        <v>ORD-1039</v>
      </c>
      <c r="B40" t="str">
        <f>Sales!G40</f>
        <v>Noise Cancel Headset</v>
      </c>
      <c r="C40" s="3">
        <f>IFERROR(INDEX(Products!$D$2:$D$10,MATCH(B40,Products!$A$2:$A$10,0)),0)</f>
        <v>4714</v>
      </c>
      <c r="D40" t="str">
        <f>Sales!D40</f>
        <v>Kabir Das</v>
      </c>
      <c r="E40" s="3">
        <f>IFERROR(INDEX(Targets!$C$2:$C$9,MATCH(D40,Targets!$B$2:$B$9,0)),0)</f>
        <v>150000</v>
      </c>
      <c r="F40" t="s">
        <v>269</v>
      </c>
      <c r="G40" t="s">
        <v>269</v>
      </c>
    </row>
    <row r="41" spans="1:7" x14ac:dyDescent="0.35">
      <c r="A41" t="str">
        <f>Sales!A41</f>
        <v>ORD-1040</v>
      </c>
      <c r="B41" t="str">
        <f>Sales!G41</f>
        <v>Noise Cancel Headset</v>
      </c>
      <c r="C41" s="3">
        <f>IFERROR(INDEX(Products!$D$2:$D$10,MATCH(B41,Products!$A$2:$A$10,0)),0)</f>
        <v>4714</v>
      </c>
      <c r="D41" t="str">
        <f>Sales!D41</f>
        <v>Aarav Mehta</v>
      </c>
      <c r="E41" s="3">
        <f>IFERROR(INDEX(Targets!$C$2:$C$9,MATCH(D41,Targets!$B$2:$B$9,0)),0)</f>
        <v>300000</v>
      </c>
      <c r="F41" t="s">
        <v>269</v>
      </c>
      <c r="G41" t="s">
        <v>269</v>
      </c>
    </row>
    <row r="42" spans="1:7" x14ac:dyDescent="0.35">
      <c r="A42" t="str">
        <f>Sales!A42</f>
        <v>ORD-1041</v>
      </c>
      <c r="B42" t="str">
        <f>Sales!G42</f>
        <v>Notebook Set</v>
      </c>
      <c r="C42" s="3">
        <f>IFERROR(INDEX(Products!$D$2:$D$10,MATCH(B42,Products!$A$2:$A$10,0)),0)</f>
        <v>419</v>
      </c>
      <c r="D42" t="str">
        <f>Sales!D42</f>
        <v>Ananya Joshi</v>
      </c>
      <c r="E42" s="3">
        <f>IFERROR(INDEX(Targets!$C$2:$C$9,MATCH(D42,Targets!$B$2:$B$9,0)),0)</f>
        <v>150000</v>
      </c>
      <c r="F42" t="s">
        <v>269</v>
      </c>
      <c r="G42" t="s">
        <v>269</v>
      </c>
    </row>
    <row r="43" spans="1:7" x14ac:dyDescent="0.35">
      <c r="A43" t="str">
        <f>Sales!A43</f>
        <v>ORD-1042</v>
      </c>
      <c r="B43" t="str">
        <f>Sales!G43</f>
        <v>Office Chair</v>
      </c>
      <c r="C43" s="3">
        <f>IFERROR(INDEX(Products!$D$2:$D$10,MATCH(B43,Products!$A$2:$A$10,0)),0)</f>
        <v>8805</v>
      </c>
      <c r="D43" t="str">
        <f>Sales!D43</f>
        <v>Vikram Shah</v>
      </c>
      <c r="E43" s="3">
        <f>IFERROR(INDEX(Targets!$C$2:$C$9,MATCH(D43,Targets!$B$2:$B$9,0)),0)</f>
        <v>300000</v>
      </c>
      <c r="F43" t="s">
        <v>269</v>
      </c>
      <c r="G43" t="s">
        <v>269</v>
      </c>
    </row>
    <row r="44" spans="1:7" x14ac:dyDescent="0.35">
      <c r="A44" t="str">
        <f>Sales!A44</f>
        <v>ORD-1043</v>
      </c>
      <c r="B44" t="str">
        <f>Sales!G44</f>
        <v>Office Chair</v>
      </c>
      <c r="C44" s="3">
        <f>IFERROR(INDEX(Products!$D$2:$D$10,MATCH(B44,Products!$A$2:$A$10,0)),0)</f>
        <v>8805</v>
      </c>
      <c r="D44" t="str">
        <f>Sales!D44</f>
        <v>Sneha Rao</v>
      </c>
      <c r="E44" s="3">
        <f>IFERROR(INDEX(Targets!$C$2:$C$9,MATCH(D44,Targets!$B$2:$B$9,0)),0)</f>
        <v>300000</v>
      </c>
      <c r="F44" t="s">
        <v>269</v>
      </c>
      <c r="G44" t="s">
        <v>269</v>
      </c>
    </row>
    <row r="45" spans="1:7" x14ac:dyDescent="0.35">
      <c r="A45" t="str">
        <f>Sales!A45</f>
        <v>ORD-1044</v>
      </c>
      <c r="B45" t="str">
        <f>Sales!G45</f>
        <v>Notebook Set</v>
      </c>
      <c r="C45" s="3">
        <f>IFERROR(INDEX(Products!$D$2:$D$10,MATCH(B45,Products!$A$2:$A$10,0)),0)</f>
        <v>419</v>
      </c>
      <c r="D45" t="str">
        <f>Sales!D45</f>
        <v>Aarav Mehta</v>
      </c>
      <c r="E45" s="3">
        <f>IFERROR(INDEX(Targets!$C$2:$C$9,MATCH(D45,Targets!$B$2:$B$9,0)),0)</f>
        <v>300000</v>
      </c>
      <c r="F45" t="s">
        <v>269</v>
      </c>
      <c r="G45" t="s">
        <v>269</v>
      </c>
    </row>
    <row r="46" spans="1:7" x14ac:dyDescent="0.35">
      <c r="A46" t="str">
        <f>Sales!A46</f>
        <v>ORD-1045</v>
      </c>
      <c r="B46" t="str">
        <f>Sales!G46</f>
        <v>Wireless Mouse</v>
      </c>
      <c r="C46" s="3">
        <f>IFERROR(INDEX(Products!$D$2:$D$10,MATCH(B46,Products!$A$2:$A$10,0)),0)</f>
        <v>954</v>
      </c>
      <c r="D46" t="str">
        <f>Sales!D46</f>
        <v>Kabir Das</v>
      </c>
      <c r="E46" s="3">
        <f>IFERROR(INDEX(Targets!$C$2:$C$9,MATCH(D46,Targets!$B$2:$B$9,0)),0)</f>
        <v>150000</v>
      </c>
      <c r="F46" t="s">
        <v>269</v>
      </c>
      <c r="G46" t="s">
        <v>269</v>
      </c>
    </row>
    <row r="47" spans="1:7" x14ac:dyDescent="0.35">
      <c r="A47" t="str">
        <f>Sales!A47</f>
        <v>ORD-1046</v>
      </c>
      <c r="B47" t="str">
        <f>Sales!G47</f>
        <v>Filing Cabinet</v>
      </c>
      <c r="C47" s="3">
        <f>IFERROR(INDEX(Products!$D$2:$D$10,MATCH(B47,Products!$A$2:$A$10,0)),0)</f>
        <v>4582</v>
      </c>
      <c r="D47" t="str">
        <f>Sales!D47</f>
        <v>Priya Nair</v>
      </c>
      <c r="E47" s="3">
        <f>IFERROR(INDEX(Targets!$C$2:$C$9,MATCH(D47,Targets!$B$2:$B$9,0)),0)</f>
        <v>250000</v>
      </c>
      <c r="F47" t="s">
        <v>269</v>
      </c>
      <c r="G47" t="s">
        <v>269</v>
      </c>
    </row>
    <row r="48" spans="1:7" x14ac:dyDescent="0.35">
      <c r="A48" t="str">
        <f>Sales!A48</f>
        <v>ORD-1047</v>
      </c>
      <c r="B48" t="str">
        <f>Sales!G48</f>
        <v>Noise Cancel Headset</v>
      </c>
      <c r="C48" s="3">
        <f>IFERROR(INDEX(Products!$D$2:$D$10,MATCH(B48,Products!$A$2:$A$10,0)),0)</f>
        <v>4714</v>
      </c>
      <c r="D48" t="str">
        <f>Sales!D48</f>
        <v>Kabir Das</v>
      </c>
      <c r="E48" s="3">
        <f>IFERROR(INDEX(Targets!$C$2:$C$9,MATCH(D48,Targets!$B$2:$B$9,0)),0)</f>
        <v>150000</v>
      </c>
      <c r="F48" t="s">
        <v>269</v>
      </c>
      <c r="G48" t="s">
        <v>269</v>
      </c>
    </row>
    <row r="49" spans="1:7" x14ac:dyDescent="0.35">
      <c r="A49" t="str">
        <f>Sales!A49</f>
        <v>ORD-1048</v>
      </c>
      <c r="B49" t="str">
        <f>Sales!G49</f>
        <v>Noise Cancel Headset</v>
      </c>
      <c r="C49" s="3">
        <f>IFERROR(INDEX(Products!$D$2:$D$10,MATCH(B49,Products!$A$2:$A$10,0)),0)</f>
        <v>4714</v>
      </c>
      <c r="D49" t="str">
        <f>Sales!D49</f>
        <v>Aarav Mehta</v>
      </c>
      <c r="E49" s="3">
        <f>IFERROR(INDEX(Targets!$C$2:$C$9,MATCH(D49,Targets!$B$2:$B$9,0)),0)</f>
        <v>300000</v>
      </c>
      <c r="F49" t="s">
        <v>269</v>
      </c>
      <c r="G49" t="s">
        <v>269</v>
      </c>
    </row>
    <row r="50" spans="1:7" x14ac:dyDescent="0.35">
      <c r="A50" t="str">
        <f>Sales!A50</f>
        <v>ORD-1049</v>
      </c>
      <c r="B50" t="str">
        <f>Sales!G50</f>
        <v>Standing Desk</v>
      </c>
      <c r="C50" s="3">
        <f>IFERROR(INDEX(Products!$D$2:$D$10,MATCH(B50,Products!$A$2:$A$10,0)),0)</f>
        <v>13587</v>
      </c>
      <c r="D50" t="str">
        <f>Sales!D50</f>
        <v>Ananya Joshi</v>
      </c>
      <c r="E50" s="3">
        <f>IFERROR(INDEX(Targets!$C$2:$C$9,MATCH(D50,Targets!$B$2:$B$9,0)),0)</f>
        <v>150000</v>
      </c>
      <c r="F50" t="s">
        <v>269</v>
      </c>
      <c r="G50" t="s">
        <v>269</v>
      </c>
    </row>
    <row r="51" spans="1:7" x14ac:dyDescent="0.35">
      <c r="A51" t="str">
        <f>Sales!A51</f>
        <v>ORD-1050</v>
      </c>
      <c r="B51" t="str">
        <f>Sales!G51</f>
        <v>Laptop Pro 14</v>
      </c>
      <c r="C51" s="3">
        <f>IFERROR(INDEX(Products!$D$2:$D$10,MATCH(B51,Products!$A$2:$A$10,0)),0)</f>
        <v>65726</v>
      </c>
      <c r="D51" t="str">
        <f>Sales!D51</f>
        <v>Kabir Das</v>
      </c>
      <c r="E51" s="3">
        <f>IFERROR(INDEX(Targets!$C$2:$C$9,MATCH(D51,Targets!$B$2:$B$9,0)),0)</f>
        <v>150000</v>
      </c>
      <c r="F51" t="s">
        <v>269</v>
      </c>
      <c r="G51" t="s">
        <v>269</v>
      </c>
    </row>
    <row r="52" spans="1:7" x14ac:dyDescent="0.35">
      <c r="A52" t="str">
        <f>Sales!A52</f>
        <v>ORD-1051</v>
      </c>
      <c r="B52" t="str">
        <f>Sales!G52</f>
        <v>Filing Cabinet</v>
      </c>
      <c r="C52" s="3">
        <f>IFERROR(INDEX(Products!$D$2:$D$10,MATCH(B52,Products!$A$2:$A$10,0)),0)</f>
        <v>4582</v>
      </c>
      <c r="D52" t="str">
        <f>Sales!D52</f>
        <v>Sneha Rao</v>
      </c>
      <c r="E52" s="3">
        <f>IFERROR(INDEX(Targets!$C$2:$C$9,MATCH(D52,Targets!$B$2:$B$9,0)),0)</f>
        <v>300000</v>
      </c>
      <c r="F52" t="s">
        <v>269</v>
      </c>
      <c r="G52" t="s">
        <v>269</v>
      </c>
    </row>
    <row r="53" spans="1:7" x14ac:dyDescent="0.35">
      <c r="A53" t="str">
        <f>Sales!A53</f>
        <v>ORD-1052</v>
      </c>
      <c r="B53" t="str">
        <f>Sales!G53</f>
        <v>Laptop Pro 14</v>
      </c>
      <c r="C53" s="3">
        <f>IFERROR(INDEX(Products!$D$2:$D$10,MATCH(B53,Products!$A$2:$A$10,0)),0)</f>
        <v>65726</v>
      </c>
      <c r="D53" t="str">
        <f>Sales!D53</f>
        <v>Sneha Rao</v>
      </c>
      <c r="E53" s="3">
        <f>IFERROR(INDEX(Targets!$C$2:$C$9,MATCH(D53,Targets!$B$2:$B$9,0)),0)</f>
        <v>300000</v>
      </c>
      <c r="F53" t="s">
        <v>269</v>
      </c>
      <c r="G53" t="s">
        <v>269</v>
      </c>
    </row>
    <row r="54" spans="1:7" x14ac:dyDescent="0.35">
      <c r="A54" t="str">
        <f>Sales!A54</f>
        <v>ORD-1053</v>
      </c>
      <c r="B54" t="str">
        <f>Sales!G54</f>
        <v>Noise Cancel Headset</v>
      </c>
      <c r="C54" s="3">
        <f>IFERROR(INDEX(Products!$D$2:$D$10,MATCH(B54,Products!$A$2:$A$10,0)),0)</f>
        <v>4714</v>
      </c>
      <c r="D54" t="str">
        <f>Sales!D54</f>
        <v>Rahul Iyer</v>
      </c>
      <c r="E54" s="3">
        <f>IFERROR(INDEX(Targets!$C$2:$C$9,MATCH(D54,Targets!$B$2:$B$9,0)),0)</f>
        <v>150000</v>
      </c>
      <c r="F54" t="s">
        <v>269</v>
      </c>
      <c r="G54" t="s">
        <v>269</v>
      </c>
    </row>
    <row r="55" spans="1:7" x14ac:dyDescent="0.35">
      <c r="A55" t="str">
        <f>Sales!A55</f>
        <v>ORD-1054</v>
      </c>
      <c r="B55" t="str">
        <f>Sales!G55</f>
        <v>Gel Pen Pack</v>
      </c>
      <c r="C55" s="3">
        <f>IFERROR(INDEX(Products!$D$2:$D$10,MATCH(B55,Products!$A$2:$A$10,0)),0)</f>
        <v>143</v>
      </c>
      <c r="D55" t="str">
        <f>Sales!D55</f>
        <v>Aarav Mehta</v>
      </c>
      <c r="E55" s="3">
        <f>IFERROR(INDEX(Targets!$C$2:$C$9,MATCH(D55,Targets!$B$2:$B$9,0)),0)</f>
        <v>300000</v>
      </c>
      <c r="F55" t="s">
        <v>269</v>
      </c>
      <c r="G55" t="s">
        <v>269</v>
      </c>
    </row>
    <row r="56" spans="1:7" x14ac:dyDescent="0.35">
      <c r="A56" t="str">
        <f>Sales!A56</f>
        <v>ORD-1055</v>
      </c>
      <c r="B56" t="str">
        <f>Sales!G56</f>
        <v>Standing Desk</v>
      </c>
      <c r="C56" s="3">
        <f>IFERROR(INDEX(Products!$D$2:$D$10,MATCH(B56,Products!$A$2:$A$10,0)),0)</f>
        <v>13587</v>
      </c>
      <c r="D56" t="str">
        <f>Sales!D56</f>
        <v>Sneha Rao</v>
      </c>
      <c r="E56" s="3">
        <f>IFERROR(INDEX(Targets!$C$2:$C$9,MATCH(D56,Targets!$B$2:$B$9,0)),0)</f>
        <v>300000</v>
      </c>
      <c r="F56" t="s">
        <v>269</v>
      </c>
      <c r="G56" t="s">
        <v>269</v>
      </c>
    </row>
    <row r="57" spans="1:7" x14ac:dyDescent="0.35">
      <c r="A57" t="str">
        <f>Sales!A57</f>
        <v>ORD-1056</v>
      </c>
      <c r="B57" t="str">
        <f>Sales!G57</f>
        <v>Wireless Mouse</v>
      </c>
      <c r="C57" s="3">
        <f>IFERROR(INDEX(Products!$D$2:$D$10,MATCH(B57,Products!$A$2:$A$10,0)),0)</f>
        <v>954</v>
      </c>
      <c r="D57" t="str">
        <f>Sales!D57</f>
        <v>Priya Nair</v>
      </c>
      <c r="E57" s="3">
        <f>IFERROR(INDEX(Targets!$C$2:$C$9,MATCH(D57,Targets!$B$2:$B$9,0)),0)</f>
        <v>250000</v>
      </c>
      <c r="F57" t="s">
        <v>269</v>
      </c>
      <c r="G57" t="s">
        <v>269</v>
      </c>
    </row>
    <row r="58" spans="1:7" x14ac:dyDescent="0.35">
      <c r="A58" t="str">
        <f>Sales!A58</f>
        <v>ORD-1057</v>
      </c>
      <c r="B58" t="str">
        <f>Sales!G58</f>
        <v>Office Chair</v>
      </c>
      <c r="C58" s="3">
        <f>IFERROR(INDEX(Products!$D$2:$D$10,MATCH(B58,Products!$A$2:$A$10,0)),0)</f>
        <v>8805</v>
      </c>
      <c r="D58" t="str">
        <f>Sales!D58</f>
        <v>Meera Sen</v>
      </c>
      <c r="E58" s="3">
        <f>IFERROR(INDEX(Targets!$C$2:$C$9,MATCH(D58,Targets!$B$2:$B$9,0)),0)</f>
        <v>200000</v>
      </c>
      <c r="F58" t="s">
        <v>269</v>
      </c>
      <c r="G58" t="s">
        <v>269</v>
      </c>
    </row>
    <row r="59" spans="1:7" x14ac:dyDescent="0.35">
      <c r="A59" t="str">
        <f>Sales!A59</f>
        <v>ORD-1058</v>
      </c>
      <c r="B59" t="str">
        <f>Sales!G59</f>
        <v>Notebook Set</v>
      </c>
      <c r="C59" s="3">
        <f>IFERROR(INDEX(Products!$D$2:$D$10,MATCH(B59,Products!$A$2:$A$10,0)),0)</f>
        <v>419</v>
      </c>
      <c r="D59" t="str">
        <f>Sales!D59</f>
        <v>Sneha Rao</v>
      </c>
      <c r="E59" s="3">
        <f>IFERROR(INDEX(Targets!$C$2:$C$9,MATCH(D59,Targets!$B$2:$B$9,0)),0)</f>
        <v>300000</v>
      </c>
      <c r="F59" t="s">
        <v>269</v>
      </c>
      <c r="G59" t="s">
        <v>269</v>
      </c>
    </row>
    <row r="60" spans="1:7" x14ac:dyDescent="0.35">
      <c r="A60" t="str">
        <f>Sales!A60</f>
        <v>ORD-1059</v>
      </c>
      <c r="B60" t="str">
        <f>Sales!G60</f>
        <v>Wireless Mouse</v>
      </c>
      <c r="C60" s="3">
        <f>IFERROR(INDEX(Products!$D$2:$D$10,MATCH(B60,Products!$A$2:$A$10,0)),0)</f>
        <v>954</v>
      </c>
      <c r="D60" t="str">
        <f>Sales!D60</f>
        <v>Vikram Shah</v>
      </c>
      <c r="E60" s="3">
        <f>IFERROR(INDEX(Targets!$C$2:$C$9,MATCH(D60,Targets!$B$2:$B$9,0)),0)</f>
        <v>300000</v>
      </c>
      <c r="F60" t="s">
        <v>269</v>
      </c>
      <c r="G60" t="s">
        <v>269</v>
      </c>
    </row>
    <row r="61" spans="1:7" x14ac:dyDescent="0.35">
      <c r="A61" t="str">
        <f>Sales!A61</f>
        <v>ORD-1060</v>
      </c>
      <c r="B61" t="str">
        <f>Sales!G61</f>
        <v>A4 Paper Ream</v>
      </c>
      <c r="C61" s="3">
        <f>IFERROR(INDEX(Products!$D$2:$D$10,MATCH(B61,Products!$A$2:$A$10,0)),0)</f>
        <v>259</v>
      </c>
      <c r="D61" t="str">
        <f>Sales!D61</f>
        <v>Rahul Iyer</v>
      </c>
      <c r="E61" s="3">
        <f>IFERROR(INDEX(Targets!$C$2:$C$9,MATCH(D61,Targets!$B$2:$B$9,0)),0)</f>
        <v>150000</v>
      </c>
      <c r="F61" t="s">
        <v>269</v>
      </c>
      <c r="G61" t="s">
        <v>269</v>
      </c>
    </row>
    <row r="62" spans="1:7" x14ac:dyDescent="0.35">
      <c r="A62" t="str">
        <f>Sales!A62</f>
        <v>ORD-1061</v>
      </c>
      <c r="B62" t="str">
        <f>Sales!G62</f>
        <v>A4 Paper Ream</v>
      </c>
      <c r="C62" s="3">
        <f>IFERROR(INDEX(Products!$D$2:$D$10,MATCH(B62,Products!$A$2:$A$10,0)),0)</f>
        <v>259</v>
      </c>
      <c r="D62" t="str">
        <f>Sales!D62</f>
        <v>Vikram Shah</v>
      </c>
      <c r="E62" s="3">
        <f>IFERROR(INDEX(Targets!$C$2:$C$9,MATCH(D62,Targets!$B$2:$B$9,0)),0)</f>
        <v>300000</v>
      </c>
      <c r="F62" t="s">
        <v>269</v>
      </c>
      <c r="G62" t="s">
        <v>269</v>
      </c>
    </row>
    <row r="63" spans="1:7" x14ac:dyDescent="0.35">
      <c r="A63" t="str">
        <f>Sales!A63</f>
        <v>ORD-1062</v>
      </c>
      <c r="B63" t="str">
        <f>Sales!G63</f>
        <v>Office Chair</v>
      </c>
      <c r="C63" s="3">
        <f>IFERROR(INDEX(Products!$D$2:$D$10,MATCH(B63,Products!$A$2:$A$10,0)),0)</f>
        <v>8805</v>
      </c>
      <c r="D63" t="str">
        <f>Sales!D63</f>
        <v>Rahul Iyer</v>
      </c>
      <c r="E63" s="3">
        <f>IFERROR(INDEX(Targets!$C$2:$C$9,MATCH(D63,Targets!$B$2:$B$9,0)),0)</f>
        <v>150000</v>
      </c>
      <c r="F63" t="s">
        <v>269</v>
      </c>
      <c r="G63" t="s">
        <v>269</v>
      </c>
    </row>
    <row r="64" spans="1:7" x14ac:dyDescent="0.35">
      <c r="A64" t="str">
        <f>Sales!A64</f>
        <v>ORD-1063</v>
      </c>
      <c r="B64" t="str">
        <f>Sales!G64</f>
        <v>Noise Cancel Headset</v>
      </c>
      <c r="C64" s="3">
        <f>IFERROR(INDEX(Products!$D$2:$D$10,MATCH(B64,Products!$A$2:$A$10,0)),0)</f>
        <v>4714</v>
      </c>
      <c r="D64" t="str">
        <f>Sales!D64</f>
        <v>Ananya Joshi</v>
      </c>
      <c r="E64" s="3">
        <f>IFERROR(INDEX(Targets!$C$2:$C$9,MATCH(D64,Targets!$B$2:$B$9,0)),0)</f>
        <v>150000</v>
      </c>
      <c r="F64" t="s">
        <v>269</v>
      </c>
      <c r="G64" t="s">
        <v>269</v>
      </c>
    </row>
    <row r="65" spans="1:7" x14ac:dyDescent="0.35">
      <c r="A65" t="str">
        <f>Sales!A65</f>
        <v>ORD-1064</v>
      </c>
      <c r="B65" t="str">
        <f>Sales!G65</f>
        <v>Office Chair</v>
      </c>
      <c r="C65" s="3">
        <f>IFERROR(INDEX(Products!$D$2:$D$10,MATCH(B65,Products!$A$2:$A$10,0)),0)</f>
        <v>8805</v>
      </c>
      <c r="D65" t="str">
        <f>Sales!D65</f>
        <v>Priya Nair</v>
      </c>
      <c r="E65" s="3">
        <f>IFERROR(INDEX(Targets!$C$2:$C$9,MATCH(D65,Targets!$B$2:$B$9,0)),0)</f>
        <v>250000</v>
      </c>
      <c r="F65" t="s">
        <v>269</v>
      </c>
      <c r="G65" t="s">
        <v>269</v>
      </c>
    </row>
    <row r="66" spans="1:7" x14ac:dyDescent="0.35">
      <c r="A66" t="str">
        <f>Sales!A66</f>
        <v>ORD-1065</v>
      </c>
      <c r="B66" t="str">
        <f>Sales!G66</f>
        <v>Wireless Mouse</v>
      </c>
      <c r="C66" s="3">
        <f>IFERROR(INDEX(Products!$D$2:$D$10,MATCH(B66,Products!$A$2:$A$10,0)),0)</f>
        <v>954</v>
      </c>
      <c r="D66" t="str">
        <f>Sales!D66</f>
        <v>Ananya Joshi</v>
      </c>
      <c r="E66" s="3">
        <f>IFERROR(INDEX(Targets!$C$2:$C$9,MATCH(D66,Targets!$B$2:$B$9,0)),0)</f>
        <v>150000</v>
      </c>
      <c r="F66" t="s">
        <v>269</v>
      </c>
      <c r="G66" t="s">
        <v>269</v>
      </c>
    </row>
    <row r="67" spans="1:7" x14ac:dyDescent="0.35">
      <c r="A67" t="str">
        <f>Sales!A67</f>
        <v>ORD-1066</v>
      </c>
      <c r="B67" t="str">
        <f>Sales!G67</f>
        <v>Standing Desk</v>
      </c>
      <c r="C67" s="3">
        <f>IFERROR(INDEX(Products!$D$2:$D$10,MATCH(B67,Products!$A$2:$A$10,0)),0)</f>
        <v>13587</v>
      </c>
      <c r="D67" t="str">
        <f>Sales!D67</f>
        <v>Meera Sen</v>
      </c>
      <c r="E67" s="3">
        <f>IFERROR(INDEX(Targets!$C$2:$C$9,MATCH(D67,Targets!$B$2:$B$9,0)),0)</f>
        <v>200000</v>
      </c>
      <c r="F67" t="s">
        <v>269</v>
      </c>
      <c r="G67" t="s">
        <v>269</v>
      </c>
    </row>
    <row r="68" spans="1:7" x14ac:dyDescent="0.35">
      <c r="A68" t="str">
        <f>Sales!A68</f>
        <v>ORD-1067</v>
      </c>
      <c r="B68" t="str">
        <f>Sales!G68</f>
        <v>Gel Pen Pack</v>
      </c>
      <c r="C68" s="3">
        <f>IFERROR(INDEX(Products!$D$2:$D$10,MATCH(B68,Products!$A$2:$A$10,0)),0)</f>
        <v>143</v>
      </c>
      <c r="D68" t="str">
        <f>Sales!D68</f>
        <v>Rahul Iyer</v>
      </c>
      <c r="E68" s="3">
        <f>IFERROR(INDEX(Targets!$C$2:$C$9,MATCH(D68,Targets!$B$2:$B$9,0)),0)</f>
        <v>150000</v>
      </c>
      <c r="F68" t="s">
        <v>269</v>
      </c>
      <c r="G68" t="s">
        <v>269</v>
      </c>
    </row>
    <row r="69" spans="1:7" x14ac:dyDescent="0.35">
      <c r="A69" t="str">
        <f>Sales!A69</f>
        <v>ORD-1068</v>
      </c>
      <c r="B69" t="str">
        <f>Sales!G69</f>
        <v>Noise Cancel Headset</v>
      </c>
      <c r="C69" s="3">
        <f>IFERROR(INDEX(Products!$D$2:$D$10,MATCH(B69,Products!$A$2:$A$10,0)),0)</f>
        <v>4714</v>
      </c>
      <c r="D69" t="str">
        <f>Sales!D69</f>
        <v>Aarav Mehta</v>
      </c>
      <c r="E69" s="3">
        <f>IFERROR(INDEX(Targets!$C$2:$C$9,MATCH(D69,Targets!$B$2:$B$9,0)),0)</f>
        <v>300000</v>
      </c>
      <c r="F69" t="s">
        <v>269</v>
      </c>
      <c r="G69" t="s">
        <v>269</v>
      </c>
    </row>
    <row r="70" spans="1:7" x14ac:dyDescent="0.35">
      <c r="A70" t="str">
        <f>Sales!A70</f>
        <v>ORD-1069</v>
      </c>
      <c r="B70" t="str">
        <f>Sales!G70</f>
        <v>Notebook Set</v>
      </c>
      <c r="C70" s="3">
        <f>IFERROR(INDEX(Products!$D$2:$D$10,MATCH(B70,Products!$A$2:$A$10,0)),0)</f>
        <v>419</v>
      </c>
      <c r="D70" t="str">
        <f>Sales!D70</f>
        <v>Ananya Joshi</v>
      </c>
      <c r="E70" s="3">
        <f>IFERROR(INDEX(Targets!$C$2:$C$9,MATCH(D70,Targets!$B$2:$B$9,0)),0)</f>
        <v>150000</v>
      </c>
      <c r="F70" t="s">
        <v>269</v>
      </c>
      <c r="G70" t="s">
        <v>269</v>
      </c>
    </row>
    <row r="71" spans="1:7" x14ac:dyDescent="0.35">
      <c r="A71" t="str">
        <f>Sales!A71</f>
        <v>ORD-1070</v>
      </c>
      <c r="B71" t="str">
        <f>Sales!G71</f>
        <v>Wireless Mouse</v>
      </c>
      <c r="C71" s="3">
        <f>IFERROR(INDEX(Products!$D$2:$D$10,MATCH(B71,Products!$A$2:$A$10,0)),0)</f>
        <v>954</v>
      </c>
      <c r="D71" t="str">
        <f>Sales!D71</f>
        <v>Vikram Shah</v>
      </c>
      <c r="E71" s="3">
        <f>IFERROR(INDEX(Targets!$C$2:$C$9,MATCH(D71,Targets!$B$2:$B$9,0)),0)</f>
        <v>300000</v>
      </c>
      <c r="F71" t="s">
        <v>269</v>
      </c>
      <c r="G71" t="s">
        <v>269</v>
      </c>
    </row>
    <row r="72" spans="1:7" x14ac:dyDescent="0.35">
      <c r="A72" t="str">
        <f>Sales!A72</f>
        <v>ORD-1071</v>
      </c>
      <c r="B72" t="str">
        <f>Sales!G72</f>
        <v>Office Chair</v>
      </c>
      <c r="C72" s="3">
        <f>IFERROR(INDEX(Products!$D$2:$D$10,MATCH(B72,Products!$A$2:$A$10,0)),0)</f>
        <v>8805</v>
      </c>
      <c r="D72" t="str">
        <f>Sales!D72</f>
        <v>Ananya Joshi</v>
      </c>
      <c r="E72" s="3">
        <f>IFERROR(INDEX(Targets!$C$2:$C$9,MATCH(D72,Targets!$B$2:$B$9,0)),0)</f>
        <v>150000</v>
      </c>
      <c r="F72" t="s">
        <v>269</v>
      </c>
      <c r="G72" t="s">
        <v>269</v>
      </c>
    </row>
    <row r="73" spans="1:7" x14ac:dyDescent="0.35">
      <c r="A73" t="str">
        <f>Sales!A73</f>
        <v>ORD-1072</v>
      </c>
      <c r="B73" t="str">
        <f>Sales!G73</f>
        <v>Office Chair</v>
      </c>
      <c r="C73" s="3">
        <f>IFERROR(INDEX(Products!$D$2:$D$10,MATCH(B73,Products!$A$2:$A$10,0)),0)</f>
        <v>8805</v>
      </c>
      <c r="D73" t="str">
        <f>Sales!D73</f>
        <v>Kabir Das</v>
      </c>
      <c r="E73" s="3">
        <f>IFERROR(INDEX(Targets!$C$2:$C$9,MATCH(D73,Targets!$B$2:$B$9,0)),0)</f>
        <v>150000</v>
      </c>
      <c r="F73" t="s">
        <v>269</v>
      </c>
      <c r="G73" t="s">
        <v>269</v>
      </c>
    </row>
    <row r="74" spans="1:7" x14ac:dyDescent="0.35">
      <c r="A74" t="str">
        <f>Sales!A74</f>
        <v>ORD-1073</v>
      </c>
      <c r="B74" t="str">
        <f>Sales!G74</f>
        <v>Noise Cancel Headset</v>
      </c>
      <c r="C74" s="3">
        <f>IFERROR(INDEX(Products!$D$2:$D$10,MATCH(B74,Products!$A$2:$A$10,0)),0)</f>
        <v>4714</v>
      </c>
      <c r="D74" t="str">
        <f>Sales!D74</f>
        <v>Meera Sen</v>
      </c>
      <c r="E74" s="3">
        <f>IFERROR(INDEX(Targets!$C$2:$C$9,MATCH(D74,Targets!$B$2:$B$9,0)),0)</f>
        <v>200000</v>
      </c>
      <c r="F74" t="s">
        <v>269</v>
      </c>
      <c r="G74" t="s">
        <v>269</v>
      </c>
    </row>
    <row r="75" spans="1:7" x14ac:dyDescent="0.35">
      <c r="A75" t="str">
        <f>Sales!A75</f>
        <v>ORD-1074</v>
      </c>
      <c r="B75" t="str">
        <f>Sales!G75</f>
        <v>Wireless Mouse</v>
      </c>
      <c r="C75" s="3">
        <f>IFERROR(INDEX(Products!$D$2:$D$10,MATCH(B75,Products!$A$2:$A$10,0)),0)</f>
        <v>954</v>
      </c>
      <c r="D75" t="str">
        <f>Sales!D75</f>
        <v>Kabir Das</v>
      </c>
      <c r="E75" s="3">
        <f>IFERROR(INDEX(Targets!$C$2:$C$9,MATCH(D75,Targets!$B$2:$B$9,0)),0)</f>
        <v>150000</v>
      </c>
      <c r="F75" t="s">
        <v>269</v>
      </c>
      <c r="G75" t="s">
        <v>269</v>
      </c>
    </row>
    <row r="76" spans="1:7" x14ac:dyDescent="0.35">
      <c r="A76" t="str">
        <f>Sales!A76</f>
        <v>ORD-1075</v>
      </c>
      <c r="B76" t="str">
        <f>Sales!G76</f>
        <v>A4 Paper Ream</v>
      </c>
      <c r="C76" s="3">
        <f>IFERROR(INDEX(Products!$D$2:$D$10,MATCH(B76,Products!$A$2:$A$10,0)),0)</f>
        <v>259</v>
      </c>
      <c r="D76" t="str">
        <f>Sales!D76</f>
        <v>Ananya Joshi</v>
      </c>
      <c r="E76" s="3">
        <f>IFERROR(INDEX(Targets!$C$2:$C$9,MATCH(D76,Targets!$B$2:$B$9,0)),0)</f>
        <v>150000</v>
      </c>
      <c r="F76" t="s">
        <v>269</v>
      </c>
      <c r="G76" t="s">
        <v>269</v>
      </c>
    </row>
    <row r="77" spans="1:7" x14ac:dyDescent="0.35">
      <c r="A77" t="str">
        <f>Sales!A77</f>
        <v>ORD-1076</v>
      </c>
      <c r="B77" t="str">
        <f>Sales!G77</f>
        <v>Laptop Pro 14</v>
      </c>
      <c r="C77" s="3">
        <f>IFERROR(INDEX(Products!$D$2:$D$10,MATCH(B77,Products!$A$2:$A$10,0)),0)</f>
        <v>65726</v>
      </c>
      <c r="D77" t="str">
        <f>Sales!D77</f>
        <v>Priya Nair</v>
      </c>
      <c r="E77" s="3">
        <f>IFERROR(INDEX(Targets!$C$2:$C$9,MATCH(D77,Targets!$B$2:$B$9,0)),0)</f>
        <v>250000</v>
      </c>
      <c r="F77" t="s">
        <v>269</v>
      </c>
      <c r="G77" t="s">
        <v>269</v>
      </c>
    </row>
    <row r="78" spans="1:7" x14ac:dyDescent="0.35">
      <c r="A78" t="str">
        <f>Sales!A78</f>
        <v>ORD-1077</v>
      </c>
      <c r="B78" t="str">
        <f>Sales!G78</f>
        <v>Noise Cancel Headset</v>
      </c>
      <c r="C78" s="3">
        <f>IFERROR(INDEX(Products!$D$2:$D$10,MATCH(B78,Products!$A$2:$A$10,0)),0)</f>
        <v>4714</v>
      </c>
      <c r="D78" t="str">
        <f>Sales!D78</f>
        <v>Ananya Joshi</v>
      </c>
      <c r="E78" s="3">
        <f>IFERROR(INDEX(Targets!$C$2:$C$9,MATCH(D78,Targets!$B$2:$B$9,0)),0)</f>
        <v>150000</v>
      </c>
      <c r="F78" t="s">
        <v>269</v>
      </c>
      <c r="G78" t="s">
        <v>269</v>
      </c>
    </row>
    <row r="79" spans="1:7" x14ac:dyDescent="0.35">
      <c r="A79" t="str">
        <f>Sales!A79</f>
        <v>ORD-1078</v>
      </c>
      <c r="B79" t="str">
        <f>Sales!G79</f>
        <v>Filing Cabinet</v>
      </c>
      <c r="C79" s="3">
        <f>IFERROR(INDEX(Products!$D$2:$D$10,MATCH(B79,Products!$A$2:$A$10,0)),0)</f>
        <v>4582</v>
      </c>
      <c r="D79" t="str">
        <f>Sales!D79</f>
        <v>Priya Nair</v>
      </c>
      <c r="E79" s="3">
        <f>IFERROR(INDEX(Targets!$C$2:$C$9,MATCH(D79,Targets!$B$2:$B$9,0)),0)</f>
        <v>250000</v>
      </c>
      <c r="F79" t="s">
        <v>269</v>
      </c>
      <c r="G79" t="s">
        <v>269</v>
      </c>
    </row>
    <row r="80" spans="1:7" x14ac:dyDescent="0.35">
      <c r="A80" t="str">
        <f>Sales!A80</f>
        <v>ORD-1079</v>
      </c>
      <c r="B80" t="str">
        <f>Sales!G80</f>
        <v>Standing Desk</v>
      </c>
      <c r="C80" s="3">
        <f>IFERROR(INDEX(Products!$D$2:$D$10,MATCH(B80,Products!$A$2:$A$10,0)),0)</f>
        <v>13587</v>
      </c>
      <c r="D80" t="str">
        <f>Sales!D80</f>
        <v>Vikram Shah</v>
      </c>
      <c r="E80" s="3">
        <f>IFERROR(INDEX(Targets!$C$2:$C$9,MATCH(D80,Targets!$B$2:$B$9,0)),0)</f>
        <v>300000</v>
      </c>
      <c r="F80" t="s">
        <v>269</v>
      </c>
      <c r="G80" t="s">
        <v>269</v>
      </c>
    </row>
    <row r="81" spans="1:7" x14ac:dyDescent="0.35">
      <c r="A81" t="str">
        <f>Sales!A81</f>
        <v>ORD-1080</v>
      </c>
      <c r="B81" t="str">
        <f>Sales!G81</f>
        <v>Noise Cancel Headset</v>
      </c>
      <c r="C81" s="3">
        <f>IFERROR(INDEX(Products!$D$2:$D$10,MATCH(B81,Products!$A$2:$A$10,0)),0)</f>
        <v>4714</v>
      </c>
      <c r="D81" t="str">
        <f>Sales!D81</f>
        <v>Vikram Shah</v>
      </c>
      <c r="E81" s="3">
        <f>IFERROR(INDEX(Targets!$C$2:$C$9,MATCH(D81,Targets!$B$2:$B$9,0)),0)</f>
        <v>300000</v>
      </c>
      <c r="F81" t="s">
        <v>269</v>
      </c>
      <c r="G81" t="s">
        <v>269</v>
      </c>
    </row>
    <row r="82" spans="1:7" x14ac:dyDescent="0.35">
      <c r="A82" t="str">
        <f>Sales!A82</f>
        <v>ORD-1081</v>
      </c>
      <c r="B82" t="str">
        <f>Sales!G82</f>
        <v>Laptop Pro 14</v>
      </c>
      <c r="C82" s="3">
        <f>IFERROR(INDEX(Products!$D$2:$D$10,MATCH(B82,Products!$A$2:$A$10,0)),0)</f>
        <v>65726</v>
      </c>
      <c r="D82" t="str">
        <f>Sales!D82</f>
        <v>Kabir Das</v>
      </c>
      <c r="E82" s="3">
        <f>IFERROR(INDEX(Targets!$C$2:$C$9,MATCH(D82,Targets!$B$2:$B$9,0)),0)</f>
        <v>150000</v>
      </c>
      <c r="F82" t="s">
        <v>269</v>
      </c>
      <c r="G82" t="s">
        <v>269</v>
      </c>
    </row>
    <row r="83" spans="1:7" x14ac:dyDescent="0.35">
      <c r="A83" t="str">
        <f>Sales!A83</f>
        <v>ORD-1082</v>
      </c>
      <c r="B83" t="str">
        <f>Sales!G83</f>
        <v>Filing Cabinet</v>
      </c>
      <c r="C83" s="3">
        <f>IFERROR(INDEX(Products!$D$2:$D$10,MATCH(B83,Products!$A$2:$A$10,0)),0)</f>
        <v>4582</v>
      </c>
      <c r="D83" t="str">
        <f>Sales!D83</f>
        <v>Priya Nair</v>
      </c>
      <c r="E83" s="3">
        <f>IFERROR(INDEX(Targets!$C$2:$C$9,MATCH(D83,Targets!$B$2:$B$9,0)),0)</f>
        <v>250000</v>
      </c>
      <c r="F83" t="s">
        <v>269</v>
      </c>
      <c r="G83" t="s">
        <v>269</v>
      </c>
    </row>
    <row r="84" spans="1:7" x14ac:dyDescent="0.35">
      <c r="A84" t="str">
        <f>Sales!A84</f>
        <v>ORD-1083</v>
      </c>
      <c r="B84" t="str">
        <f>Sales!G84</f>
        <v>Wireless Mouse</v>
      </c>
      <c r="C84" s="3">
        <f>IFERROR(INDEX(Products!$D$2:$D$10,MATCH(B84,Products!$A$2:$A$10,0)),0)</f>
        <v>954</v>
      </c>
      <c r="D84" t="str">
        <f>Sales!D84</f>
        <v>Rahul Iyer</v>
      </c>
      <c r="E84" s="3">
        <f>IFERROR(INDEX(Targets!$C$2:$C$9,MATCH(D84,Targets!$B$2:$B$9,0)),0)</f>
        <v>150000</v>
      </c>
      <c r="F84" t="s">
        <v>269</v>
      </c>
      <c r="G84" t="s">
        <v>269</v>
      </c>
    </row>
    <row r="85" spans="1:7" x14ac:dyDescent="0.35">
      <c r="A85" t="str">
        <f>Sales!A85</f>
        <v>ORD-1084</v>
      </c>
      <c r="B85" t="str">
        <f>Sales!G85</f>
        <v>Wireless Mouse</v>
      </c>
      <c r="C85" s="3">
        <f>IFERROR(INDEX(Products!$D$2:$D$10,MATCH(B85,Products!$A$2:$A$10,0)),0)</f>
        <v>954</v>
      </c>
      <c r="D85" t="str">
        <f>Sales!D85</f>
        <v>Vikram Shah</v>
      </c>
      <c r="E85" s="3">
        <f>IFERROR(INDEX(Targets!$C$2:$C$9,MATCH(D85,Targets!$B$2:$B$9,0)),0)</f>
        <v>300000</v>
      </c>
      <c r="F85" t="s">
        <v>269</v>
      </c>
      <c r="G85" t="s">
        <v>269</v>
      </c>
    </row>
    <row r="86" spans="1:7" x14ac:dyDescent="0.35">
      <c r="A86" t="str">
        <f>Sales!A86</f>
        <v>ORD-1085</v>
      </c>
      <c r="B86" t="str">
        <f>Sales!G86</f>
        <v>Notebook Set</v>
      </c>
      <c r="C86" s="3">
        <f>IFERROR(INDEX(Products!$D$2:$D$10,MATCH(B86,Products!$A$2:$A$10,0)),0)</f>
        <v>419</v>
      </c>
      <c r="D86" t="str">
        <f>Sales!D86</f>
        <v>Meera Sen</v>
      </c>
      <c r="E86" s="3">
        <f>IFERROR(INDEX(Targets!$C$2:$C$9,MATCH(D86,Targets!$B$2:$B$9,0)),0)</f>
        <v>200000</v>
      </c>
      <c r="F86" t="s">
        <v>269</v>
      </c>
      <c r="G86" t="s">
        <v>269</v>
      </c>
    </row>
    <row r="87" spans="1:7" x14ac:dyDescent="0.35">
      <c r="A87" t="str">
        <f>Sales!A87</f>
        <v>ORD-1086</v>
      </c>
      <c r="B87" t="str">
        <f>Sales!G87</f>
        <v>Office Chair</v>
      </c>
      <c r="C87" s="3">
        <f>IFERROR(INDEX(Products!$D$2:$D$10,MATCH(B87,Products!$A$2:$A$10,0)),0)</f>
        <v>8805</v>
      </c>
      <c r="D87" t="str">
        <f>Sales!D87</f>
        <v>Meera Sen</v>
      </c>
      <c r="E87" s="3">
        <f>IFERROR(INDEX(Targets!$C$2:$C$9,MATCH(D87,Targets!$B$2:$B$9,0)),0)</f>
        <v>200000</v>
      </c>
      <c r="F87" t="s">
        <v>269</v>
      </c>
      <c r="G87" t="s">
        <v>269</v>
      </c>
    </row>
    <row r="88" spans="1:7" x14ac:dyDescent="0.35">
      <c r="A88" t="str">
        <f>Sales!A88</f>
        <v>ORD-1087</v>
      </c>
      <c r="B88" t="str">
        <f>Sales!G88</f>
        <v>Filing Cabinet</v>
      </c>
      <c r="C88" s="3">
        <f>IFERROR(INDEX(Products!$D$2:$D$10,MATCH(B88,Products!$A$2:$A$10,0)),0)</f>
        <v>4582</v>
      </c>
      <c r="D88" t="str">
        <f>Sales!D88</f>
        <v>Meera Sen</v>
      </c>
      <c r="E88" s="3">
        <f>IFERROR(INDEX(Targets!$C$2:$C$9,MATCH(D88,Targets!$B$2:$B$9,0)),0)</f>
        <v>200000</v>
      </c>
      <c r="F88" t="s">
        <v>269</v>
      </c>
      <c r="G88" t="s">
        <v>269</v>
      </c>
    </row>
    <row r="89" spans="1:7" x14ac:dyDescent="0.35">
      <c r="A89" t="str">
        <f>Sales!A89</f>
        <v>ORD-1088</v>
      </c>
      <c r="B89" t="str">
        <f>Sales!G89</f>
        <v>Notebook Set</v>
      </c>
      <c r="C89" s="3">
        <f>IFERROR(INDEX(Products!$D$2:$D$10,MATCH(B89,Products!$A$2:$A$10,0)),0)</f>
        <v>419</v>
      </c>
      <c r="D89" t="str">
        <f>Sales!D89</f>
        <v>Rahul Iyer</v>
      </c>
      <c r="E89" s="3">
        <f>IFERROR(INDEX(Targets!$C$2:$C$9,MATCH(D89,Targets!$B$2:$B$9,0)),0)</f>
        <v>150000</v>
      </c>
      <c r="F89" t="s">
        <v>269</v>
      </c>
      <c r="G89" t="s">
        <v>269</v>
      </c>
    </row>
    <row r="90" spans="1:7" x14ac:dyDescent="0.35">
      <c r="A90" t="str">
        <f>Sales!A90</f>
        <v>ORD-1089</v>
      </c>
      <c r="B90" t="str">
        <f>Sales!G90</f>
        <v>A4 Paper Ream</v>
      </c>
      <c r="C90" s="3">
        <f>IFERROR(INDEX(Products!$D$2:$D$10,MATCH(B90,Products!$A$2:$A$10,0)),0)</f>
        <v>259</v>
      </c>
      <c r="D90" t="str">
        <f>Sales!D90</f>
        <v>Ananya Joshi</v>
      </c>
      <c r="E90" s="3">
        <f>IFERROR(INDEX(Targets!$C$2:$C$9,MATCH(D90,Targets!$B$2:$B$9,0)),0)</f>
        <v>150000</v>
      </c>
      <c r="F90" t="s">
        <v>269</v>
      </c>
      <c r="G90" t="s">
        <v>269</v>
      </c>
    </row>
    <row r="91" spans="1:7" x14ac:dyDescent="0.35">
      <c r="A91" t="str">
        <f>Sales!A91</f>
        <v>ORD-1090</v>
      </c>
      <c r="B91" t="str">
        <f>Sales!G91</f>
        <v>Wireless Mouse</v>
      </c>
      <c r="C91" s="3">
        <f>IFERROR(INDEX(Products!$D$2:$D$10,MATCH(B91,Products!$A$2:$A$10,0)),0)</f>
        <v>954</v>
      </c>
      <c r="D91" t="str">
        <f>Sales!D91</f>
        <v>Vikram Shah</v>
      </c>
      <c r="E91" s="3">
        <f>IFERROR(INDEX(Targets!$C$2:$C$9,MATCH(D91,Targets!$B$2:$B$9,0)),0)</f>
        <v>300000</v>
      </c>
      <c r="F91" t="s">
        <v>269</v>
      </c>
      <c r="G91" t="s">
        <v>269</v>
      </c>
    </row>
    <row r="92" spans="1:7" x14ac:dyDescent="0.35">
      <c r="A92" t="str">
        <f>Sales!A92</f>
        <v>ORD-1091</v>
      </c>
      <c r="B92" t="str">
        <f>Sales!G92</f>
        <v>Wireless Mouse</v>
      </c>
      <c r="C92" s="3">
        <f>IFERROR(INDEX(Products!$D$2:$D$10,MATCH(B92,Products!$A$2:$A$10,0)),0)</f>
        <v>954</v>
      </c>
      <c r="D92" t="str">
        <f>Sales!D92</f>
        <v>Sneha Rao</v>
      </c>
      <c r="E92" s="3">
        <f>IFERROR(INDEX(Targets!$C$2:$C$9,MATCH(D92,Targets!$B$2:$B$9,0)),0)</f>
        <v>300000</v>
      </c>
      <c r="F92" t="s">
        <v>269</v>
      </c>
      <c r="G92" t="s">
        <v>269</v>
      </c>
    </row>
    <row r="93" spans="1:7" x14ac:dyDescent="0.35">
      <c r="A93" t="str">
        <f>Sales!A93</f>
        <v>ORD-1092</v>
      </c>
      <c r="B93" t="str">
        <f>Sales!G93</f>
        <v>Noise Cancel Headset</v>
      </c>
      <c r="C93" s="3">
        <f>IFERROR(INDEX(Products!$D$2:$D$10,MATCH(B93,Products!$A$2:$A$10,0)),0)</f>
        <v>4714</v>
      </c>
      <c r="D93" t="str">
        <f>Sales!D93</f>
        <v>Meera Sen</v>
      </c>
      <c r="E93" s="3">
        <f>IFERROR(INDEX(Targets!$C$2:$C$9,MATCH(D93,Targets!$B$2:$B$9,0)),0)</f>
        <v>200000</v>
      </c>
      <c r="F93" t="s">
        <v>269</v>
      </c>
      <c r="G93" t="s">
        <v>269</v>
      </c>
    </row>
    <row r="94" spans="1:7" x14ac:dyDescent="0.35">
      <c r="A94" t="str">
        <f>Sales!A94</f>
        <v>ORD-1093</v>
      </c>
      <c r="B94" t="str">
        <f>Sales!G94</f>
        <v>Notebook Set</v>
      </c>
      <c r="C94" s="3">
        <f>IFERROR(INDEX(Products!$D$2:$D$10,MATCH(B94,Products!$A$2:$A$10,0)),0)</f>
        <v>419</v>
      </c>
      <c r="D94" t="str">
        <f>Sales!D94</f>
        <v>Aarav Mehta</v>
      </c>
      <c r="E94" s="3">
        <f>IFERROR(INDEX(Targets!$C$2:$C$9,MATCH(D94,Targets!$B$2:$B$9,0)),0)</f>
        <v>300000</v>
      </c>
      <c r="F94" t="s">
        <v>269</v>
      </c>
      <c r="G94" t="s">
        <v>269</v>
      </c>
    </row>
    <row r="95" spans="1:7" x14ac:dyDescent="0.35">
      <c r="A95" t="str">
        <f>Sales!A95</f>
        <v>ORD-1094</v>
      </c>
      <c r="B95" t="str">
        <f>Sales!G95</f>
        <v>Wireless Mouse</v>
      </c>
      <c r="C95" s="3">
        <f>IFERROR(INDEX(Products!$D$2:$D$10,MATCH(B95,Products!$A$2:$A$10,0)),0)</f>
        <v>954</v>
      </c>
      <c r="D95" t="str">
        <f>Sales!D95</f>
        <v>Vikram Shah</v>
      </c>
      <c r="E95" s="3">
        <f>IFERROR(INDEX(Targets!$C$2:$C$9,MATCH(D95,Targets!$B$2:$B$9,0)),0)</f>
        <v>300000</v>
      </c>
      <c r="F95" t="s">
        <v>269</v>
      </c>
      <c r="G95" t="s">
        <v>269</v>
      </c>
    </row>
    <row r="96" spans="1:7" x14ac:dyDescent="0.35">
      <c r="A96" t="str">
        <f>Sales!A96</f>
        <v>ORD-1095</v>
      </c>
      <c r="B96" t="str">
        <f>Sales!G96</f>
        <v>Wireless Mouse</v>
      </c>
      <c r="C96" s="3">
        <f>IFERROR(INDEX(Products!$D$2:$D$10,MATCH(B96,Products!$A$2:$A$10,0)),0)</f>
        <v>954</v>
      </c>
      <c r="D96" t="str">
        <f>Sales!D96</f>
        <v>Ananya Joshi</v>
      </c>
      <c r="E96" s="3">
        <f>IFERROR(INDEX(Targets!$C$2:$C$9,MATCH(D96,Targets!$B$2:$B$9,0)),0)</f>
        <v>150000</v>
      </c>
      <c r="F96" t="s">
        <v>269</v>
      </c>
      <c r="G96" t="s">
        <v>269</v>
      </c>
    </row>
    <row r="97" spans="1:7" x14ac:dyDescent="0.35">
      <c r="A97" t="str">
        <f>Sales!A97</f>
        <v>ORD-1096</v>
      </c>
      <c r="B97" t="str">
        <f>Sales!G97</f>
        <v>Notebook Set</v>
      </c>
      <c r="C97" s="3">
        <f>IFERROR(INDEX(Products!$D$2:$D$10,MATCH(B97,Products!$A$2:$A$10,0)),0)</f>
        <v>419</v>
      </c>
      <c r="D97" t="str">
        <f>Sales!D97</f>
        <v>Ananya Joshi</v>
      </c>
      <c r="E97" s="3">
        <f>IFERROR(INDEX(Targets!$C$2:$C$9,MATCH(D97,Targets!$B$2:$B$9,0)),0)</f>
        <v>150000</v>
      </c>
      <c r="F97" t="s">
        <v>269</v>
      </c>
      <c r="G97" t="s">
        <v>269</v>
      </c>
    </row>
    <row r="98" spans="1:7" x14ac:dyDescent="0.35">
      <c r="A98" t="str">
        <f>Sales!A98</f>
        <v>ORD-1097</v>
      </c>
      <c r="B98" t="str">
        <f>Sales!G98</f>
        <v>A4 Paper Ream</v>
      </c>
      <c r="C98" s="3">
        <f>IFERROR(INDEX(Products!$D$2:$D$10,MATCH(B98,Products!$A$2:$A$10,0)),0)</f>
        <v>259</v>
      </c>
      <c r="D98" t="str">
        <f>Sales!D98</f>
        <v>Meera Sen</v>
      </c>
      <c r="E98" s="3">
        <f>IFERROR(INDEX(Targets!$C$2:$C$9,MATCH(D98,Targets!$B$2:$B$9,0)),0)</f>
        <v>200000</v>
      </c>
      <c r="F98" t="s">
        <v>269</v>
      </c>
      <c r="G98" t="s">
        <v>269</v>
      </c>
    </row>
    <row r="99" spans="1:7" x14ac:dyDescent="0.35">
      <c r="A99" t="str">
        <f>Sales!A99</f>
        <v>ORD-1098</v>
      </c>
      <c r="B99" t="str">
        <f>Sales!G99</f>
        <v>Notebook Set</v>
      </c>
      <c r="C99" s="3">
        <f>IFERROR(INDEX(Products!$D$2:$D$10,MATCH(B99,Products!$A$2:$A$10,0)),0)</f>
        <v>419</v>
      </c>
      <c r="D99" t="str">
        <f>Sales!D99</f>
        <v>Meera Sen</v>
      </c>
      <c r="E99" s="3">
        <f>IFERROR(INDEX(Targets!$C$2:$C$9,MATCH(D99,Targets!$B$2:$B$9,0)),0)</f>
        <v>200000</v>
      </c>
      <c r="F99" t="s">
        <v>269</v>
      </c>
      <c r="G99" t="s">
        <v>269</v>
      </c>
    </row>
    <row r="100" spans="1:7" x14ac:dyDescent="0.35">
      <c r="A100" t="str">
        <f>Sales!A100</f>
        <v>ORD-1099</v>
      </c>
      <c r="B100" t="str">
        <f>Sales!G100</f>
        <v>Notebook Set</v>
      </c>
      <c r="C100" s="3">
        <f>IFERROR(INDEX(Products!$D$2:$D$10,MATCH(B100,Products!$A$2:$A$10,0)),0)</f>
        <v>419</v>
      </c>
      <c r="D100" t="str">
        <f>Sales!D100</f>
        <v>Vikram Shah</v>
      </c>
      <c r="E100" s="3">
        <f>IFERROR(INDEX(Targets!$C$2:$C$9,MATCH(D100,Targets!$B$2:$B$9,0)),0)</f>
        <v>300000</v>
      </c>
      <c r="F100" t="s">
        <v>269</v>
      </c>
      <c r="G100" t="s">
        <v>269</v>
      </c>
    </row>
    <row r="101" spans="1:7" x14ac:dyDescent="0.35">
      <c r="A101" t="str">
        <f>Sales!A101</f>
        <v>ORD-1100</v>
      </c>
      <c r="B101" t="str">
        <f>Sales!G101</f>
        <v>Standing Desk</v>
      </c>
      <c r="C101" s="3">
        <f>IFERROR(INDEX(Products!$D$2:$D$10,MATCH(B101,Products!$A$2:$A$10,0)),0)</f>
        <v>13587</v>
      </c>
      <c r="D101" t="str">
        <f>Sales!D101</f>
        <v>Rahul Iyer</v>
      </c>
      <c r="E101" s="3">
        <f>IFERROR(INDEX(Targets!$C$2:$C$9,MATCH(D101,Targets!$B$2:$B$9,0)),0)</f>
        <v>150000</v>
      </c>
      <c r="F101" t="s">
        <v>269</v>
      </c>
      <c r="G101" t="s">
        <v>269</v>
      </c>
    </row>
    <row r="102" spans="1:7" x14ac:dyDescent="0.35">
      <c r="A102" t="str">
        <f>Sales!A102</f>
        <v>ORD-1101</v>
      </c>
      <c r="B102" t="str">
        <f>Sales!G102</f>
        <v>Gel Pen Pack</v>
      </c>
      <c r="C102" s="3">
        <f>IFERROR(INDEX(Products!$D$2:$D$10,MATCH(B102,Products!$A$2:$A$10,0)),0)</f>
        <v>143</v>
      </c>
      <c r="D102" t="str">
        <f>Sales!D102</f>
        <v>Meera Sen</v>
      </c>
      <c r="E102" s="3">
        <f>IFERROR(INDEX(Targets!$C$2:$C$9,MATCH(D102,Targets!$B$2:$B$9,0)),0)</f>
        <v>200000</v>
      </c>
      <c r="F102" t="s">
        <v>269</v>
      </c>
      <c r="G102" t="s">
        <v>269</v>
      </c>
    </row>
    <row r="103" spans="1:7" x14ac:dyDescent="0.35">
      <c r="A103" t="str">
        <f>Sales!A103</f>
        <v>ORD-1102</v>
      </c>
      <c r="B103" t="str">
        <f>Sales!G103</f>
        <v>Standing Desk</v>
      </c>
      <c r="C103" s="3">
        <f>IFERROR(INDEX(Products!$D$2:$D$10,MATCH(B103,Products!$A$2:$A$10,0)),0)</f>
        <v>13587</v>
      </c>
      <c r="D103" t="str">
        <f>Sales!D103</f>
        <v>Ananya Joshi</v>
      </c>
      <c r="E103" s="3">
        <f>IFERROR(INDEX(Targets!$C$2:$C$9,MATCH(D103,Targets!$B$2:$B$9,0)),0)</f>
        <v>150000</v>
      </c>
      <c r="F103" t="s">
        <v>269</v>
      </c>
      <c r="G103" t="s">
        <v>269</v>
      </c>
    </row>
    <row r="104" spans="1:7" x14ac:dyDescent="0.35">
      <c r="A104" t="str">
        <f>Sales!A104</f>
        <v>ORD-1103</v>
      </c>
      <c r="B104" t="str">
        <f>Sales!G104</f>
        <v>Gel Pen Pack</v>
      </c>
      <c r="C104" s="3">
        <f>IFERROR(INDEX(Products!$D$2:$D$10,MATCH(B104,Products!$A$2:$A$10,0)),0)</f>
        <v>143</v>
      </c>
      <c r="D104" t="str">
        <f>Sales!D104</f>
        <v>Vikram Shah</v>
      </c>
      <c r="E104" s="3">
        <f>IFERROR(INDEX(Targets!$C$2:$C$9,MATCH(D104,Targets!$B$2:$B$9,0)),0)</f>
        <v>300000</v>
      </c>
      <c r="F104" t="s">
        <v>269</v>
      </c>
      <c r="G104" t="s">
        <v>269</v>
      </c>
    </row>
    <row r="105" spans="1:7" x14ac:dyDescent="0.35">
      <c r="A105" t="str">
        <f>Sales!A105</f>
        <v>ORD-1104</v>
      </c>
      <c r="B105" t="str">
        <f>Sales!G105</f>
        <v>Laptop Pro 14</v>
      </c>
      <c r="C105" s="3">
        <f>IFERROR(INDEX(Products!$D$2:$D$10,MATCH(B105,Products!$A$2:$A$10,0)),0)</f>
        <v>65726</v>
      </c>
      <c r="D105" t="str">
        <f>Sales!D105</f>
        <v>Aarav Mehta</v>
      </c>
      <c r="E105" s="3">
        <f>IFERROR(INDEX(Targets!$C$2:$C$9,MATCH(D105,Targets!$B$2:$B$9,0)),0)</f>
        <v>300000</v>
      </c>
      <c r="F105" t="s">
        <v>269</v>
      </c>
      <c r="G105" t="s">
        <v>269</v>
      </c>
    </row>
    <row r="106" spans="1:7" x14ac:dyDescent="0.35">
      <c r="A106" t="str">
        <f>Sales!A106</f>
        <v>ORD-1105</v>
      </c>
      <c r="B106" t="str">
        <f>Sales!G106</f>
        <v>Noise Cancel Headset</v>
      </c>
      <c r="C106" s="3">
        <f>IFERROR(INDEX(Products!$D$2:$D$10,MATCH(B106,Products!$A$2:$A$10,0)),0)</f>
        <v>4714</v>
      </c>
      <c r="D106" t="str">
        <f>Sales!D106</f>
        <v>Aarav Mehta</v>
      </c>
      <c r="E106" s="3">
        <f>IFERROR(INDEX(Targets!$C$2:$C$9,MATCH(D106,Targets!$B$2:$B$9,0)),0)</f>
        <v>300000</v>
      </c>
      <c r="F106" t="s">
        <v>269</v>
      </c>
      <c r="G106" t="s">
        <v>269</v>
      </c>
    </row>
    <row r="107" spans="1:7" x14ac:dyDescent="0.35">
      <c r="A107" t="str">
        <f>Sales!A107</f>
        <v>ORD-1106</v>
      </c>
      <c r="B107" t="str">
        <f>Sales!G107</f>
        <v>Standing Desk</v>
      </c>
      <c r="C107" s="3">
        <f>IFERROR(INDEX(Products!$D$2:$D$10,MATCH(B107,Products!$A$2:$A$10,0)),0)</f>
        <v>13587</v>
      </c>
      <c r="D107" t="str">
        <f>Sales!D107</f>
        <v>Kabir Das</v>
      </c>
      <c r="E107" s="3">
        <f>IFERROR(INDEX(Targets!$C$2:$C$9,MATCH(D107,Targets!$B$2:$B$9,0)),0)</f>
        <v>150000</v>
      </c>
      <c r="F107" t="s">
        <v>269</v>
      </c>
      <c r="G107" t="s">
        <v>269</v>
      </c>
    </row>
    <row r="108" spans="1:7" x14ac:dyDescent="0.35">
      <c r="A108" t="str">
        <f>Sales!A108</f>
        <v>ORD-1107</v>
      </c>
      <c r="B108" t="str">
        <f>Sales!G108</f>
        <v>Notebook Set</v>
      </c>
      <c r="C108" s="3">
        <f>IFERROR(INDEX(Products!$D$2:$D$10,MATCH(B108,Products!$A$2:$A$10,0)),0)</f>
        <v>419</v>
      </c>
      <c r="D108" t="str">
        <f>Sales!D108</f>
        <v>Meera Sen</v>
      </c>
      <c r="E108" s="3">
        <f>IFERROR(INDEX(Targets!$C$2:$C$9,MATCH(D108,Targets!$B$2:$B$9,0)),0)</f>
        <v>200000</v>
      </c>
      <c r="F108" t="s">
        <v>269</v>
      </c>
      <c r="G108" t="s">
        <v>269</v>
      </c>
    </row>
    <row r="109" spans="1:7" x14ac:dyDescent="0.35">
      <c r="A109" t="str">
        <f>Sales!A109</f>
        <v>ORD-1108</v>
      </c>
      <c r="B109" t="str">
        <f>Sales!G109</f>
        <v>Gel Pen Pack</v>
      </c>
      <c r="C109" s="3">
        <f>IFERROR(INDEX(Products!$D$2:$D$10,MATCH(B109,Products!$A$2:$A$10,0)),0)</f>
        <v>143</v>
      </c>
      <c r="D109" t="str">
        <f>Sales!D109</f>
        <v>Ananya Joshi</v>
      </c>
      <c r="E109" s="3">
        <f>IFERROR(INDEX(Targets!$C$2:$C$9,MATCH(D109,Targets!$B$2:$B$9,0)),0)</f>
        <v>150000</v>
      </c>
      <c r="F109" t="s">
        <v>269</v>
      </c>
      <c r="G109" t="s">
        <v>269</v>
      </c>
    </row>
    <row r="110" spans="1:7" x14ac:dyDescent="0.35">
      <c r="A110" t="str">
        <f>Sales!A110</f>
        <v>ORD-1109</v>
      </c>
      <c r="B110" t="str">
        <f>Sales!G110</f>
        <v>Noise Cancel Headset</v>
      </c>
      <c r="C110" s="3">
        <f>IFERROR(INDEX(Products!$D$2:$D$10,MATCH(B110,Products!$A$2:$A$10,0)),0)</f>
        <v>4714</v>
      </c>
      <c r="D110" t="str">
        <f>Sales!D110</f>
        <v>Ananya Joshi</v>
      </c>
      <c r="E110" s="3">
        <f>IFERROR(INDEX(Targets!$C$2:$C$9,MATCH(D110,Targets!$B$2:$B$9,0)),0)</f>
        <v>150000</v>
      </c>
      <c r="F110" t="s">
        <v>269</v>
      </c>
      <c r="G110" t="s">
        <v>269</v>
      </c>
    </row>
    <row r="111" spans="1:7" x14ac:dyDescent="0.35">
      <c r="A111" t="str">
        <f>Sales!A111</f>
        <v>ORD-1110</v>
      </c>
      <c r="B111" t="str">
        <f>Sales!G111</f>
        <v>Filing Cabinet</v>
      </c>
      <c r="C111" s="3">
        <f>IFERROR(INDEX(Products!$D$2:$D$10,MATCH(B111,Products!$A$2:$A$10,0)),0)</f>
        <v>4582</v>
      </c>
      <c r="D111" t="str">
        <f>Sales!D111</f>
        <v>Ananya Joshi</v>
      </c>
      <c r="E111" s="3">
        <f>IFERROR(INDEX(Targets!$C$2:$C$9,MATCH(D111,Targets!$B$2:$B$9,0)),0)</f>
        <v>150000</v>
      </c>
      <c r="F111" t="s">
        <v>269</v>
      </c>
      <c r="G111" t="s">
        <v>269</v>
      </c>
    </row>
    <row r="112" spans="1:7" x14ac:dyDescent="0.35">
      <c r="A112" t="str">
        <f>Sales!A112</f>
        <v>ORD-1111</v>
      </c>
      <c r="B112" t="str">
        <f>Sales!G112</f>
        <v>Wireless Mouse</v>
      </c>
      <c r="C112" s="3">
        <f>IFERROR(INDEX(Products!$D$2:$D$10,MATCH(B112,Products!$A$2:$A$10,0)),0)</f>
        <v>954</v>
      </c>
      <c r="D112" t="str">
        <f>Sales!D112</f>
        <v>Priya Nair</v>
      </c>
      <c r="E112" s="3">
        <f>IFERROR(INDEX(Targets!$C$2:$C$9,MATCH(D112,Targets!$B$2:$B$9,0)),0)</f>
        <v>250000</v>
      </c>
      <c r="F112" t="s">
        <v>269</v>
      </c>
      <c r="G112" t="s">
        <v>269</v>
      </c>
    </row>
    <row r="113" spans="1:7" x14ac:dyDescent="0.35">
      <c r="A113" t="str">
        <f>Sales!A113</f>
        <v>ORD-1112</v>
      </c>
      <c r="B113" t="str">
        <f>Sales!G113</f>
        <v>Filing Cabinet</v>
      </c>
      <c r="C113" s="3">
        <f>IFERROR(INDEX(Products!$D$2:$D$10,MATCH(B113,Products!$A$2:$A$10,0)),0)</f>
        <v>4582</v>
      </c>
      <c r="D113" t="str">
        <f>Sales!D113</f>
        <v>Vikram Shah</v>
      </c>
      <c r="E113" s="3">
        <f>IFERROR(INDEX(Targets!$C$2:$C$9,MATCH(D113,Targets!$B$2:$B$9,0)),0)</f>
        <v>300000</v>
      </c>
      <c r="F113" t="s">
        <v>269</v>
      </c>
      <c r="G113" t="s">
        <v>269</v>
      </c>
    </row>
    <row r="114" spans="1:7" x14ac:dyDescent="0.35">
      <c r="A114" t="str">
        <f>Sales!A114</f>
        <v>ORD-1113</v>
      </c>
      <c r="B114" t="str">
        <f>Sales!G114</f>
        <v>Wireless Mouse</v>
      </c>
      <c r="C114" s="3">
        <f>IFERROR(INDEX(Products!$D$2:$D$10,MATCH(B114,Products!$A$2:$A$10,0)),0)</f>
        <v>954</v>
      </c>
      <c r="D114" t="str">
        <f>Sales!D114</f>
        <v>Meera Sen</v>
      </c>
      <c r="E114" s="3">
        <f>IFERROR(INDEX(Targets!$C$2:$C$9,MATCH(D114,Targets!$B$2:$B$9,0)),0)</f>
        <v>200000</v>
      </c>
      <c r="F114" t="s">
        <v>269</v>
      </c>
      <c r="G114" t="s">
        <v>269</v>
      </c>
    </row>
    <row r="115" spans="1:7" x14ac:dyDescent="0.35">
      <c r="A115" t="str">
        <f>Sales!A115</f>
        <v>ORD-1114</v>
      </c>
      <c r="B115" t="str">
        <f>Sales!G115</f>
        <v>Standing Desk</v>
      </c>
      <c r="C115" s="3">
        <f>IFERROR(INDEX(Products!$D$2:$D$10,MATCH(B115,Products!$A$2:$A$10,0)),0)</f>
        <v>13587</v>
      </c>
      <c r="D115" t="str">
        <f>Sales!D115</f>
        <v>Meera Sen</v>
      </c>
      <c r="E115" s="3">
        <f>IFERROR(INDEX(Targets!$C$2:$C$9,MATCH(D115,Targets!$B$2:$B$9,0)),0)</f>
        <v>200000</v>
      </c>
      <c r="F115" t="s">
        <v>269</v>
      </c>
      <c r="G115" t="s">
        <v>269</v>
      </c>
    </row>
    <row r="116" spans="1:7" x14ac:dyDescent="0.35">
      <c r="A116" t="str">
        <f>Sales!A116</f>
        <v>ORD-1115</v>
      </c>
      <c r="B116" t="str">
        <f>Sales!G116</f>
        <v>Filing Cabinet</v>
      </c>
      <c r="C116" s="3">
        <f>IFERROR(INDEX(Products!$D$2:$D$10,MATCH(B116,Products!$A$2:$A$10,0)),0)</f>
        <v>4582</v>
      </c>
      <c r="D116" t="str">
        <f>Sales!D116</f>
        <v>Aarav Mehta</v>
      </c>
      <c r="E116" s="3">
        <f>IFERROR(INDEX(Targets!$C$2:$C$9,MATCH(D116,Targets!$B$2:$B$9,0)),0)</f>
        <v>300000</v>
      </c>
      <c r="F116" t="s">
        <v>269</v>
      </c>
      <c r="G116" t="s">
        <v>269</v>
      </c>
    </row>
    <row r="117" spans="1:7" x14ac:dyDescent="0.35">
      <c r="A117" t="str">
        <f>Sales!A117</f>
        <v>ORD-1116</v>
      </c>
      <c r="B117" t="str">
        <f>Sales!G117</f>
        <v>Filing Cabinet</v>
      </c>
      <c r="C117" s="3">
        <f>IFERROR(INDEX(Products!$D$2:$D$10,MATCH(B117,Products!$A$2:$A$10,0)),0)</f>
        <v>4582</v>
      </c>
      <c r="D117" t="str">
        <f>Sales!D117</f>
        <v>Ananya Joshi</v>
      </c>
      <c r="E117" s="3">
        <f>IFERROR(INDEX(Targets!$C$2:$C$9,MATCH(D117,Targets!$B$2:$B$9,0)),0)</f>
        <v>150000</v>
      </c>
      <c r="F117" t="s">
        <v>269</v>
      </c>
      <c r="G117" t="s">
        <v>269</v>
      </c>
    </row>
    <row r="118" spans="1:7" x14ac:dyDescent="0.35">
      <c r="A118" t="str">
        <f>Sales!A118</f>
        <v>ORD-1117</v>
      </c>
      <c r="B118" t="str">
        <f>Sales!G118</f>
        <v>Filing Cabinet</v>
      </c>
      <c r="C118" s="3">
        <f>IFERROR(INDEX(Products!$D$2:$D$10,MATCH(B118,Products!$A$2:$A$10,0)),0)</f>
        <v>4582</v>
      </c>
      <c r="D118" t="str">
        <f>Sales!D118</f>
        <v>Priya Nair</v>
      </c>
      <c r="E118" s="3">
        <f>IFERROR(INDEX(Targets!$C$2:$C$9,MATCH(D118,Targets!$B$2:$B$9,0)),0)</f>
        <v>250000</v>
      </c>
      <c r="F118" t="s">
        <v>269</v>
      </c>
      <c r="G118" t="s">
        <v>269</v>
      </c>
    </row>
    <row r="119" spans="1:7" x14ac:dyDescent="0.35">
      <c r="A119" t="str">
        <f>Sales!A119</f>
        <v>ORD-1118</v>
      </c>
      <c r="B119" t="str">
        <f>Sales!G119</f>
        <v>Noise Cancel Headset</v>
      </c>
      <c r="C119" s="3">
        <f>IFERROR(INDEX(Products!$D$2:$D$10,MATCH(B119,Products!$A$2:$A$10,0)),0)</f>
        <v>4714</v>
      </c>
      <c r="D119" t="str">
        <f>Sales!D119</f>
        <v>Aarav Mehta</v>
      </c>
      <c r="E119" s="3">
        <f>IFERROR(INDEX(Targets!$C$2:$C$9,MATCH(D119,Targets!$B$2:$B$9,0)),0)</f>
        <v>300000</v>
      </c>
      <c r="F119" t="s">
        <v>269</v>
      </c>
      <c r="G119" t="s">
        <v>269</v>
      </c>
    </row>
    <row r="120" spans="1:7" x14ac:dyDescent="0.35">
      <c r="A120" t="str">
        <f>Sales!A120</f>
        <v>ORD-1119</v>
      </c>
      <c r="B120" t="str">
        <f>Sales!G120</f>
        <v>Standing Desk</v>
      </c>
      <c r="C120" s="3">
        <f>IFERROR(INDEX(Products!$D$2:$D$10,MATCH(B120,Products!$A$2:$A$10,0)),0)</f>
        <v>13587</v>
      </c>
      <c r="D120" t="str">
        <f>Sales!D120</f>
        <v>Aarav Mehta</v>
      </c>
      <c r="E120" s="3">
        <f>IFERROR(INDEX(Targets!$C$2:$C$9,MATCH(D120,Targets!$B$2:$B$9,0)),0)</f>
        <v>300000</v>
      </c>
      <c r="F120" t="s">
        <v>269</v>
      </c>
      <c r="G120" t="s">
        <v>269</v>
      </c>
    </row>
    <row r="121" spans="1:7" x14ac:dyDescent="0.35">
      <c r="A121" t="str">
        <f>Sales!A121</f>
        <v>ORD-1120</v>
      </c>
      <c r="B121" t="str">
        <f>Sales!G121</f>
        <v>Gel Pen Pack</v>
      </c>
      <c r="C121" s="3">
        <f>IFERROR(INDEX(Products!$D$2:$D$10,MATCH(B121,Products!$A$2:$A$10,0)),0)</f>
        <v>143</v>
      </c>
      <c r="D121" t="str">
        <f>Sales!D121</f>
        <v>Sneha Rao</v>
      </c>
      <c r="E121" s="3">
        <f>IFERROR(INDEX(Targets!$C$2:$C$9,MATCH(D121,Targets!$B$2:$B$9,0)),0)</f>
        <v>300000</v>
      </c>
      <c r="F121" t="s">
        <v>269</v>
      </c>
      <c r="G121" t="s">
        <v>269</v>
      </c>
    </row>
  </sheetData>
  <autoFilter ref="A1:G121" xr:uid="{00000000-0009-0000-0000-000008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42" customWidth="1"/>
    <col min="2" max="2" width="58" customWidth="1"/>
    <col min="3" max="3" width="28" customWidth="1"/>
  </cols>
  <sheetData>
    <row r="1" spans="1:3" ht="23.5" x14ac:dyDescent="0.55000000000000004">
      <c r="A1" s="5" t="s">
        <v>270</v>
      </c>
    </row>
    <row r="2" spans="1:3" x14ac:dyDescent="0.35">
      <c r="A2" s="6" t="s">
        <v>175</v>
      </c>
      <c r="B2" s="6" t="s">
        <v>221</v>
      </c>
      <c r="C2" s="6" t="s">
        <v>222</v>
      </c>
    </row>
    <row r="3" spans="1:3" x14ac:dyDescent="0.35">
      <c r="A3" t="s">
        <v>271</v>
      </c>
      <c r="B3" t="s">
        <v>272</v>
      </c>
      <c r="C3">
        <f>YEAR(Sales!B2)</f>
        <v>2025</v>
      </c>
    </row>
    <row r="4" spans="1:3" x14ac:dyDescent="0.35">
      <c r="A4" t="s">
        <v>273</v>
      </c>
      <c r="B4" t="s">
        <v>274</v>
      </c>
      <c r="C4">
        <f>MONTH(Sales!B2)</f>
        <v>6</v>
      </c>
    </row>
    <row r="5" spans="1:3" x14ac:dyDescent="0.35">
      <c r="A5" t="s">
        <v>275</v>
      </c>
      <c r="B5" t="s">
        <v>276</v>
      </c>
      <c r="C5">
        <f>DAY(Sales!B2)</f>
        <v>21</v>
      </c>
    </row>
    <row r="6" spans="1:3" x14ac:dyDescent="0.35">
      <c r="A6" t="s">
        <v>277</v>
      </c>
      <c r="B6" t="s">
        <v>278</v>
      </c>
      <c r="C6">
        <f>WEEKNUM(Sales!B2)</f>
        <v>25</v>
      </c>
    </row>
    <row r="7" spans="1:3" x14ac:dyDescent="0.35">
      <c r="A7" t="s">
        <v>279</v>
      </c>
      <c r="B7" t="s">
        <v>280</v>
      </c>
      <c r="C7" t="str">
        <f>TEXT(Sales!B2,"mmm")</f>
        <v>Jun</v>
      </c>
    </row>
    <row r="8" spans="1:3" x14ac:dyDescent="0.35">
      <c r="A8" t="s">
        <v>281</v>
      </c>
      <c r="B8" t="s">
        <v>282</v>
      </c>
      <c r="C8" t="str">
        <f>TEXT(Sales!B2,"mmm-yy")</f>
        <v>Jun-25</v>
      </c>
    </row>
    <row r="9" spans="1:3" x14ac:dyDescent="0.35">
      <c r="A9" t="s">
        <v>283</v>
      </c>
      <c r="B9" t="s">
        <v>284</v>
      </c>
      <c r="C9">
        <f>EOMONTH(Sales!B2,0)</f>
        <v>45838</v>
      </c>
    </row>
    <row r="10" spans="1:3" x14ac:dyDescent="0.35">
      <c r="A10" t="s">
        <v>285</v>
      </c>
      <c r="B10" t="s">
        <v>286</v>
      </c>
      <c r="C10">
        <f>EDATE(Sales!B2,1)</f>
        <v>45859</v>
      </c>
    </row>
    <row r="11" spans="1:3" x14ac:dyDescent="0.35">
      <c r="A11" t="s">
        <v>287</v>
      </c>
      <c r="B11" t="s">
        <v>288</v>
      </c>
      <c r="C11">
        <f>WEEKDAY(Sales!B2,2)</f>
        <v>6</v>
      </c>
    </row>
    <row r="12" spans="1:3" x14ac:dyDescent="0.35">
      <c r="A12" t="s">
        <v>289</v>
      </c>
      <c r="B12" t="s">
        <v>290</v>
      </c>
      <c r="C12">
        <f ca="1">NETWORKDAYS(Sales!B2,TODAY())</f>
        <v>330</v>
      </c>
    </row>
    <row r="13" spans="1:3" x14ac:dyDescent="0.35">
      <c r="A13" t="s">
        <v>291</v>
      </c>
      <c r="B13" t="s">
        <v>292</v>
      </c>
      <c r="C13">
        <f ca="1">DATEDIF(Sales!B2,TODAY(),"m")</f>
        <v>15</v>
      </c>
    </row>
    <row r="14" spans="1:3" x14ac:dyDescent="0.35">
      <c r="A14" t="s">
        <v>293</v>
      </c>
      <c r="B14" t="s">
        <v>294</v>
      </c>
      <c r="C14">
        <f ca="1">TODAY()</f>
        <v>46291</v>
      </c>
    </row>
    <row r="15" spans="1:3" x14ac:dyDescent="0.35">
      <c r="A15" t="s">
        <v>295</v>
      </c>
      <c r="B15" t="s">
        <v>296</v>
      </c>
      <c r="C15">
        <f ca="1">NOW()</f>
        <v>46291.556650925922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4" customWidth="1"/>
    <col min="3" max="6" width="10" customWidth="1"/>
    <col min="7" max="10" width="14" customWidth="1"/>
    <col min="11" max="11" width="10" customWidth="1"/>
    <col min="12" max="12" width="18" customWidth="1"/>
    <col min="13" max="13" width="16" customWidth="1"/>
  </cols>
  <sheetData>
    <row r="1" spans="1:13" x14ac:dyDescent="0.35">
      <c r="A1" s="1" t="s">
        <v>0</v>
      </c>
      <c r="B1" s="1" t="s">
        <v>1</v>
      </c>
      <c r="C1" s="1" t="s">
        <v>297</v>
      </c>
      <c r="D1" s="1" t="s">
        <v>169</v>
      </c>
      <c r="E1" s="1" t="s">
        <v>298</v>
      </c>
      <c r="F1" s="1" t="s">
        <v>299</v>
      </c>
      <c r="G1" s="1" t="s">
        <v>300</v>
      </c>
      <c r="H1" s="1" t="s">
        <v>301</v>
      </c>
      <c r="I1" s="1" t="s">
        <v>302</v>
      </c>
      <c r="J1" s="1" t="s">
        <v>303</v>
      </c>
      <c r="K1" s="1" t="s">
        <v>304</v>
      </c>
      <c r="L1" s="1" t="s">
        <v>305</v>
      </c>
      <c r="M1" s="1" t="s">
        <v>306</v>
      </c>
    </row>
    <row r="2" spans="1:13" x14ac:dyDescent="0.35">
      <c r="A2" t="str">
        <f>Sales!A2</f>
        <v>ORD-1001</v>
      </c>
      <c r="B2" s="2">
        <f>Sales!B2</f>
        <v>45829</v>
      </c>
      <c r="C2">
        <f t="shared" ref="C2:C33" si="0">YEAR(B2)</f>
        <v>2025</v>
      </c>
      <c r="D2">
        <f t="shared" ref="D2:D33" si="1">MONTH(B2)</f>
        <v>6</v>
      </c>
      <c r="E2">
        <f t="shared" ref="E2:E33" si="2">DAY(B2)</f>
        <v>21</v>
      </c>
      <c r="F2">
        <f t="shared" ref="F2:F33" si="3">WEEKNUM(B2)</f>
        <v>25</v>
      </c>
      <c r="G2" t="str">
        <f t="shared" ref="G2:G33" si="4">TEXT(B2,"mmm")</f>
        <v>Jun</v>
      </c>
      <c r="H2" t="str">
        <f t="shared" ref="H2:H33" si="5">TEXT(B2,"mmm-yy")</f>
        <v>Jun-25</v>
      </c>
      <c r="I2" s="2">
        <f t="shared" ref="I2:I33" si="6">EOMONTH(B2,0)</f>
        <v>45838</v>
      </c>
      <c r="J2" s="2">
        <f t="shared" ref="J2:J33" si="7">EDATE(B2,1)</f>
        <v>45859</v>
      </c>
      <c r="K2">
        <f t="shared" ref="K2:K33" si="8">WEEKDAY(B2,2)</f>
        <v>6</v>
      </c>
      <c r="L2">
        <f t="shared" ref="L2:L33" ca="1" si="9">NETWORKDAYS(B2,TODAY())</f>
        <v>330</v>
      </c>
      <c r="M2">
        <f t="shared" ref="M2:M33" ca="1" si="10">IFERROR(DATEDIF(B2,TODAY(),"m"),0)</f>
        <v>15</v>
      </c>
    </row>
    <row r="3" spans="1:13" x14ac:dyDescent="0.35">
      <c r="A3" t="str">
        <f>Sales!A3</f>
        <v>ORD-1002</v>
      </c>
      <c r="B3" s="2">
        <f>Sales!B3</f>
        <v>45953</v>
      </c>
      <c r="C3">
        <f t="shared" si="0"/>
        <v>2025</v>
      </c>
      <c r="D3">
        <f t="shared" si="1"/>
        <v>10</v>
      </c>
      <c r="E3">
        <f t="shared" si="2"/>
        <v>23</v>
      </c>
      <c r="F3">
        <f t="shared" si="3"/>
        <v>43</v>
      </c>
      <c r="G3" t="str">
        <f t="shared" si="4"/>
        <v>Oct</v>
      </c>
      <c r="H3" t="str">
        <f t="shared" si="5"/>
        <v>Oct-25</v>
      </c>
      <c r="I3" s="2">
        <f t="shared" si="6"/>
        <v>45961</v>
      </c>
      <c r="J3" s="2">
        <f t="shared" si="7"/>
        <v>45984</v>
      </c>
      <c r="K3">
        <f t="shared" si="8"/>
        <v>4</v>
      </c>
      <c r="L3">
        <f t="shared" ca="1" si="9"/>
        <v>242</v>
      </c>
      <c r="M3">
        <f t="shared" ca="1" si="10"/>
        <v>11</v>
      </c>
    </row>
    <row r="4" spans="1:13" x14ac:dyDescent="0.35">
      <c r="A4" t="str">
        <f>Sales!A4</f>
        <v>ORD-1003</v>
      </c>
      <c r="B4" s="2">
        <f>Sales!B4</f>
        <v>45831</v>
      </c>
      <c r="C4">
        <f t="shared" si="0"/>
        <v>2025</v>
      </c>
      <c r="D4">
        <f t="shared" si="1"/>
        <v>6</v>
      </c>
      <c r="E4">
        <f t="shared" si="2"/>
        <v>23</v>
      </c>
      <c r="F4">
        <f t="shared" si="3"/>
        <v>26</v>
      </c>
      <c r="G4" t="str">
        <f t="shared" si="4"/>
        <v>Jun</v>
      </c>
      <c r="H4" t="str">
        <f t="shared" si="5"/>
        <v>Jun-25</v>
      </c>
      <c r="I4" s="2">
        <f t="shared" si="6"/>
        <v>45838</v>
      </c>
      <c r="J4" s="2">
        <f t="shared" si="7"/>
        <v>45861</v>
      </c>
      <c r="K4">
        <f t="shared" si="8"/>
        <v>1</v>
      </c>
      <c r="L4">
        <f t="shared" ca="1" si="9"/>
        <v>330</v>
      </c>
      <c r="M4">
        <f t="shared" ca="1" si="10"/>
        <v>15</v>
      </c>
    </row>
    <row r="5" spans="1:13" x14ac:dyDescent="0.35">
      <c r="A5" t="str">
        <f>Sales!A5</f>
        <v>ORD-1004</v>
      </c>
      <c r="B5" s="2">
        <f>Sales!B5</f>
        <v>45943</v>
      </c>
      <c r="C5">
        <f t="shared" si="0"/>
        <v>2025</v>
      </c>
      <c r="D5">
        <f t="shared" si="1"/>
        <v>10</v>
      </c>
      <c r="E5">
        <f t="shared" si="2"/>
        <v>13</v>
      </c>
      <c r="F5">
        <f t="shared" si="3"/>
        <v>42</v>
      </c>
      <c r="G5" t="str">
        <f t="shared" si="4"/>
        <v>Oct</v>
      </c>
      <c r="H5" t="str">
        <f t="shared" si="5"/>
        <v>Oct-25</v>
      </c>
      <c r="I5" s="2">
        <f t="shared" si="6"/>
        <v>45961</v>
      </c>
      <c r="J5" s="2">
        <f t="shared" si="7"/>
        <v>45974</v>
      </c>
      <c r="K5">
        <f t="shared" si="8"/>
        <v>1</v>
      </c>
      <c r="L5">
        <f t="shared" ca="1" si="9"/>
        <v>250</v>
      </c>
      <c r="M5">
        <f t="shared" ca="1" si="10"/>
        <v>11</v>
      </c>
    </row>
    <row r="6" spans="1:13" x14ac:dyDescent="0.35">
      <c r="A6" t="str">
        <f>Sales!A6</f>
        <v>ORD-1005</v>
      </c>
      <c r="B6" s="2">
        <f>Sales!B6</f>
        <v>45674</v>
      </c>
      <c r="C6">
        <f t="shared" si="0"/>
        <v>2025</v>
      </c>
      <c r="D6">
        <f t="shared" si="1"/>
        <v>1</v>
      </c>
      <c r="E6">
        <f t="shared" si="2"/>
        <v>17</v>
      </c>
      <c r="F6">
        <f t="shared" si="3"/>
        <v>3</v>
      </c>
      <c r="G6" t="str">
        <f t="shared" si="4"/>
        <v>Jan</v>
      </c>
      <c r="H6" t="str">
        <f t="shared" si="5"/>
        <v>Jan-25</v>
      </c>
      <c r="I6" s="2">
        <f t="shared" si="6"/>
        <v>45688</v>
      </c>
      <c r="J6" s="2">
        <f t="shared" si="7"/>
        <v>45705</v>
      </c>
      <c r="K6">
        <f t="shared" si="8"/>
        <v>5</v>
      </c>
      <c r="L6">
        <f t="shared" ca="1" si="9"/>
        <v>441</v>
      </c>
      <c r="M6">
        <f t="shared" ca="1" si="10"/>
        <v>20</v>
      </c>
    </row>
    <row r="7" spans="1:13" x14ac:dyDescent="0.35">
      <c r="A7" t="str">
        <f>Sales!A7</f>
        <v>ORD-1006</v>
      </c>
      <c r="B7" s="2">
        <f>Sales!B7</f>
        <v>45868</v>
      </c>
      <c r="C7">
        <f t="shared" si="0"/>
        <v>2025</v>
      </c>
      <c r="D7">
        <f t="shared" si="1"/>
        <v>7</v>
      </c>
      <c r="E7">
        <f t="shared" si="2"/>
        <v>30</v>
      </c>
      <c r="F7">
        <f t="shared" si="3"/>
        <v>31</v>
      </c>
      <c r="G7" t="str">
        <f t="shared" si="4"/>
        <v>Jul</v>
      </c>
      <c r="H7" t="str">
        <f t="shared" si="5"/>
        <v>Jul-25</v>
      </c>
      <c r="I7" s="2">
        <f t="shared" si="6"/>
        <v>45869</v>
      </c>
      <c r="J7" s="2">
        <f t="shared" si="7"/>
        <v>45899</v>
      </c>
      <c r="K7">
        <f t="shared" si="8"/>
        <v>3</v>
      </c>
      <c r="L7">
        <f t="shared" ca="1" si="9"/>
        <v>303</v>
      </c>
      <c r="M7">
        <f t="shared" ca="1" si="10"/>
        <v>13</v>
      </c>
    </row>
    <row r="8" spans="1:13" x14ac:dyDescent="0.35">
      <c r="A8" t="str">
        <f>Sales!A8</f>
        <v>ORD-1007</v>
      </c>
      <c r="B8" s="2">
        <f>Sales!B8</f>
        <v>46013</v>
      </c>
      <c r="C8">
        <f t="shared" si="0"/>
        <v>2025</v>
      </c>
      <c r="D8">
        <f t="shared" si="1"/>
        <v>12</v>
      </c>
      <c r="E8">
        <f t="shared" si="2"/>
        <v>22</v>
      </c>
      <c r="F8">
        <f t="shared" si="3"/>
        <v>52</v>
      </c>
      <c r="G8" t="str">
        <f t="shared" si="4"/>
        <v>Dec</v>
      </c>
      <c r="H8" t="str">
        <f t="shared" si="5"/>
        <v>Dec-25</v>
      </c>
      <c r="I8" s="2">
        <f t="shared" si="6"/>
        <v>46022</v>
      </c>
      <c r="J8" s="2">
        <f t="shared" si="7"/>
        <v>46044</v>
      </c>
      <c r="K8">
        <f t="shared" si="8"/>
        <v>1</v>
      </c>
      <c r="L8">
        <f t="shared" ca="1" si="9"/>
        <v>200</v>
      </c>
      <c r="M8">
        <f t="shared" ca="1" si="10"/>
        <v>9</v>
      </c>
    </row>
    <row r="9" spans="1:13" x14ac:dyDescent="0.35">
      <c r="A9" t="str">
        <f>Sales!A9</f>
        <v>ORD-1008</v>
      </c>
      <c r="B9" s="2">
        <f>Sales!B9</f>
        <v>45858</v>
      </c>
      <c r="C9">
        <f t="shared" si="0"/>
        <v>2025</v>
      </c>
      <c r="D9">
        <f t="shared" si="1"/>
        <v>7</v>
      </c>
      <c r="E9">
        <f t="shared" si="2"/>
        <v>20</v>
      </c>
      <c r="F9">
        <f t="shared" si="3"/>
        <v>30</v>
      </c>
      <c r="G9" t="str">
        <f t="shared" si="4"/>
        <v>Jul</v>
      </c>
      <c r="H9" t="str">
        <f t="shared" si="5"/>
        <v>Jul-25</v>
      </c>
      <c r="I9" s="2">
        <f t="shared" si="6"/>
        <v>45869</v>
      </c>
      <c r="J9" s="2">
        <f t="shared" si="7"/>
        <v>45889</v>
      </c>
      <c r="K9">
        <f t="shared" si="8"/>
        <v>7</v>
      </c>
      <c r="L9">
        <f t="shared" ca="1" si="9"/>
        <v>310</v>
      </c>
      <c r="M9">
        <f t="shared" ca="1" si="10"/>
        <v>14</v>
      </c>
    </row>
    <row r="10" spans="1:13" x14ac:dyDescent="0.35">
      <c r="A10" t="str">
        <f>Sales!A10</f>
        <v>ORD-1009</v>
      </c>
      <c r="B10" s="2">
        <f>Sales!B10</f>
        <v>45838</v>
      </c>
      <c r="C10">
        <f t="shared" si="0"/>
        <v>2025</v>
      </c>
      <c r="D10">
        <f t="shared" si="1"/>
        <v>6</v>
      </c>
      <c r="E10">
        <f t="shared" si="2"/>
        <v>30</v>
      </c>
      <c r="F10">
        <f t="shared" si="3"/>
        <v>27</v>
      </c>
      <c r="G10" t="str">
        <f t="shared" si="4"/>
        <v>Jun</v>
      </c>
      <c r="H10" t="str">
        <f t="shared" si="5"/>
        <v>Jun-25</v>
      </c>
      <c r="I10" s="2">
        <f t="shared" si="6"/>
        <v>45838</v>
      </c>
      <c r="J10" s="2">
        <f t="shared" si="7"/>
        <v>45868</v>
      </c>
      <c r="K10">
        <f t="shared" si="8"/>
        <v>1</v>
      </c>
      <c r="L10">
        <f t="shared" ca="1" si="9"/>
        <v>325</v>
      </c>
      <c r="M10">
        <f t="shared" ca="1" si="10"/>
        <v>14</v>
      </c>
    </row>
    <row r="11" spans="1:13" x14ac:dyDescent="0.35">
      <c r="A11" t="str">
        <f>Sales!A11</f>
        <v>ORD-1010</v>
      </c>
      <c r="B11" s="2">
        <f>Sales!B11</f>
        <v>45679</v>
      </c>
      <c r="C11">
        <f t="shared" si="0"/>
        <v>2025</v>
      </c>
      <c r="D11">
        <f t="shared" si="1"/>
        <v>1</v>
      </c>
      <c r="E11">
        <f t="shared" si="2"/>
        <v>22</v>
      </c>
      <c r="F11">
        <f t="shared" si="3"/>
        <v>4</v>
      </c>
      <c r="G11" t="str">
        <f t="shared" si="4"/>
        <v>Jan</v>
      </c>
      <c r="H11" t="str">
        <f t="shared" si="5"/>
        <v>Jan-25</v>
      </c>
      <c r="I11" s="2">
        <f t="shared" si="6"/>
        <v>45688</v>
      </c>
      <c r="J11" s="2">
        <f t="shared" si="7"/>
        <v>45710</v>
      </c>
      <c r="K11">
        <f t="shared" si="8"/>
        <v>3</v>
      </c>
      <c r="L11">
        <f t="shared" ca="1" si="9"/>
        <v>438</v>
      </c>
      <c r="M11">
        <f t="shared" ca="1" si="10"/>
        <v>20</v>
      </c>
    </row>
    <row r="12" spans="1:13" x14ac:dyDescent="0.35">
      <c r="A12" t="str">
        <f>Sales!A12</f>
        <v>ORD-1011</v>
      </c>
      <c r="B12" s="2">
        <f>Sales!B12</f>
        <v>45872</v>
      </c>
      <c r="C12">
        <f t="shared" si="0"/>
        <v>2025</v>
      </c>
      <c r="D12">
        <f t="shared" si="1"/>
        <v>8</v>
      </c>
      <c r="E12">
        <f t="shared" si="2"/>
        <v>3</v>
      </c>
      <c r="F12">
        <f t="shared" si="3"/>
        <v>32</v>
      </c>
      <c r="G12" t="str">
        <f t="shared" si="4"/>
        <v>Aug</v>
      </c>
      <c r="H12" t="str">
        <f t="shared" si="5"/>
        <v>Aug-25</v>
      </c>
      <c r="I12" s="2">
        <f t="shared" si="6"/>
        <v>45900</v>
      </c>
      <c r="J12" s="2">
        <f t="shared" si="7"/>
        <v>45903</v>
      </c>
      <c r="K12">
        <f t="shared" si="8"/>
        <v>7</v>
      </c>
      <c r="L12">
        <f t="shared" ca="1" si="9"/>
        <v>300</v>
      </c>
      <c r="M12">
        <f t="shared" ca="1" si="10"/>
        <v>13</v>
      </c>
    </row>
    <row r="13" spans="1:13" x14ac:dyDescent="0.35">
      <c r="A13" t="str">
        <f>Sales!A13</f>
        <v>ORD-1012</v>
      </c>
      <c r="B13" s="2">
        <f>Sales!B13</f>
        <v>45817</v>
      </c>
      <c r="C13">
        <f t="shared" si="0"/>
        <v>2025</v>
      </c>
      <c r="D13">
        <f t="shared" si="1"/>
        <v>6</v>
      </c>
      <c r="E13">
        <f t="shared" si="2"/>
        <v>9</v>
      </c>
      <c r="F13">
        <f t="shared" si="3"/>
        <v>24</v>
      </c>
      <c r="G13" t="str">
        <f t="shared" si="4"/>
        <v>Jun</v>
      </c>
      <c r="H13" t="str">
        <f t="shared" si="5"/>
        <v>Jun-25</v>
      </c>
      <c r="I13" s="2">
        <f t="shared" si="6"/>
        <v>45838</v>
      </c>
      <c r="J13" s="2">
        <f t="shared" si="7"/>
        <v>45847</v>
      </c>
      <c r="K13">
        <f t="shared" si="8"/>
        <v>1</v>
      </c>
      <c r="L13">
        <f t="shared" ca="1" si="9"/>
        <v>340</v>
      </c>
      <c r="M13">
        <f t="shared" ca="1" si="10"/>
        <v>15</v>
      </c>
    </row>
    <row r="14" spans="1:13" x14ac:dyDescent="0.35">
      <c r="A14" t="str">
        <f>Sales!A14</f>
        <v>ORD-1013</v>
      </c>
      <c r="B14" s="2">
        <f>Sales!B14</f>
        <v>45963</v>
      </c>
      <c r="C14">
        <f t="shared" si="0"/>
        <v>2025</v>
      </c>
      <c r="D14">
        <f t="shared" si="1"/>
        <v>11</v>
      </c>
      <c r="E14">
        <f t="shared" si="2"/>
        <v>2</v>
      </c>
      <c r="F14">
        <f t="shared" si="3"/>
        <v>45</v>
      </c>
      <c r="G14" t="str">
        <f t="shared" si="4"/>
        <v>Nov</v>
      </c>
      <c r="H14" t="str">
        <f t="shared" si="5"/>
        <v>Nov-25</v>
      </c>
      <c r="I14" s="2">
        <f t="shared" si="6"/>
        <v>45991</v>
      </c>
      <c r="J14" s="2">
        <f t="shared" si="7"/>
        <v>45993</v>
      </c>
      <c r="K14">
        <f t="shared" si="8"/>
        <v>7</v>
      </c>
      <c r="L14">
        <f t="shared" ca="1" si="9"/>
        <v>235</v>
      </c>
      <c r="M14">
        <f t="shared" ca="1" si="10"/>
        <v>10</v>
      </c>
    </row>
    <row r="15" spans="1:13" x14ac:dyDescent="0.35">
      <c r="A15" t="str">
        <f>Sales!A15</f>
        <v>ORD-1014</v>
      </c>
      <c r="B15" s="2">
        <f>Sales!B15</f>
        <v>45686</v>
      </c>
      <c r="C15">
        <f t="shared" si="0"/>
        <v>2025</v>
      </c>
      <c r="D15">
        <f t="shared" si="1"/>
        <v>1</v>
      </c>
      <c r="E15">
        <f t="shared" si="2"/>
        <v>29</v>
      </c>
      <c r="F15">
        <f t="shared" si="3"/>
        <v>5</v>
      </c>
      <c r="G15" t="str">
        <f t="shared" si="4"/>
        <v>Jan</v>
      </c>
      <c r="H15" t="str">
        <f t="shared" si="5"/>
        <v>Jan-25</v>
      </c>
      <c r="I15" s="2">
        <f t="shared" si="6"/>
        <v>45688</v>
      </c>
      <c r="J15" s="2">
        <f t="shared" si="7"/>
        <v>45716</v>
      </c>
      <c r="K15">
        <f t="shared" si="8"/>
        <v>3</v>
      </c>
      <c r="L15">
        <f t="shared" ca="1" si="9"/>
        <v>433</v>
      </c>
      <c r="M15">
        <f t="shared" ca="1" si="10"/>
        <v>19</v>
      </c>
    </row>
    <row r="16" spans="1:13" x14ac:dyDescent="0.35">
      <c r="A16" t="str">
        <f>Sales!A16</f>
        <v>ORD-1015</v>
      </c>
      <c r="B16" s="2">
        <f>Sales!B16</f>
        <v>45678</v>
      </c>
      <c r="C16">
        <f t="shared" si="0"/>
        <v>2025</v>
      </c>
      <c r="D16">
        <f t="shared" si="1"/>
        <v>1</v>
      </c>
      <c r="E16">
        <f t="shared" si="2"/>
        <v>21</v>
      </c>
      <c r="F16">
        <f t="shared" si="3"/>
        <v>4</v>
      </c>
      <c r="G16" t="str">
        <f t="shared" si="4"/>
        <v>Jan</v>
      </c>
      <c r="H16" t="str">
        <f t="shared" si="5"/>
        <v>Jan-25</v>
      </c>
      <c r="I16" s="2">
        <f t="shared" si="6"/>
        <v>45688</v>
      </c>
      <c r="J16" s="2">
        <f t="shared" si="7"/>
        <v>45709</v>
      </c>
      <c r="K16">
        <f t="shared" si="8"/>
        <v>2</v>
      </c>
      <c r="L16">
        <f t="shared" ca="1" si="9"/>
        <v>439</v>
      </c>
      <c r="M16">
        <f t="shared" ca="1" si="10"/>
        <v>20</v>
      </c>
    </row>
    <row r="17" spans="1:13" x14ac:dyDescent="0.35">
      <c r="A17" t="str">
        <f>Sales!A17</f>
        <v>ORD-1016</v>
      </c>
      <c r="B17" s="2">
        <f>Sales!B17</f>
        <v>45972</v>
      </c>
      <c r="C17">
        <f t="shared" si="0"/>
        <v>2025</v>
      </c>
      <c r="D17">
        <f t="shared" si="1"/>
        <v>11</v>
      </c>
      <c r="E17">
        <f t="shared" si="2"/>
        <v>11</v>
      </c>
      <c r="F17">
        <f t="shared" si="3"/>
        <v>46</v>
      </c>
      <c r="G17" t="str">
        <f t="shared" si="4"/>
        <v>Nov</v>
      </c>
      <c r="H17" t="str">
        <f t="shared" si="5"/>
        <v>Nov-25</v>
      </c>
      <c r="I17" s="2">
        <f t="shared" si="6"/>
        <v>45991</v>
      </c>
      <c r="J17" s="2">
        <f t="shared" si="7"/>
        <v>46002</v>
      </c>
      <c r="K17">
        <f t="shared" si="8"/>
        <v>2</v>
      </c>
      <c r="L17">
        <f t="shared" ca="1" si="9"/>
        <v>229</v>
      </c>
      <c r="M17">
        <f t="shared" ca="1" si="10"/>
        <v>10</v>
      </c>
    </row>
    <row r="18" spans="1:13" x14ac:dyDescent="0.35">
      <c r="A18" t="str">
        <f>Sales!A18</f>
        <v>ORD-1017</v>
      </c>
      <c r="B18" s="2">
        <f>Sales!B18</f>
        <v>45786</v>
      </c>
      <c r="C18">
        <f t="shared" si="0"/>
        <v>2025</v>
      </c>
      <c r="D18">
        <f t="shared" si="1"/>
        <v>5</v>
      </c>
      <c r="E18">
        <f t="shared" si="2"/>
        <v>9</v>
      </c>
      <c r="F18">
        <f t="shared" si="3"/>
        <v>19</v>
      </c>
      <c r="G18" t="str">
        <f t="shared" si="4"/>
        <v>May</v>
      </c>
      <c r="H18" t="str">
        <f t="shared" si="5"/>
        <v>May-25</v>
      </c>
      <c r="I18" s="2">
        <f t="shared" si="6"/>
        <v>45808</v>
      </c>
      <c r="J18" s="2">
        <f t="shared" si="7"/>
        <v>45817</v>
      </c>
      <c r="K18">
        <f t="shared" si="8"/>
        <v>5</v>
      </c>
      <c r="L18">
        <f t="shared" ca="1" si="9"/>
        <v>361</v>
      </c>
      <c r="M18">
        <f t="shared" ca="1" si="10"/>
        <v>16</v>
      </c>
    </row>
    <row r="19" spans="1:13" x14ac:dyDescent="0.35">
      <c r="A19" t="str">
        <f>Sales!A19</f>
        <v>ORD-1018</v>
      </c>
      <c r="B19" s="2">
        <f>Sales!B19</f>
        <v>45969</v>
      </c>
      <c r="C19">
        <f t="shared" si="0"/>
        <v>2025</v>
      </c>
      <c r="D19">
        <f t="shared" si="1"/>
        <v>11</v>
      </c>
      <c r="E19">
        <f t="shared" si="2"/>
        <v>8</v>
      </c>
      <c r="F19">
        <f t="shared" si="3"/>
        <v>45</v>
      </c>
      <c r="G19" t="str">
        <f t="shared" si="4"/>
        <v>Nov</v>
      </c>
      <c r="H19" t="str">
        <f t="shared" si="5"/>
        <v>Nov-25</v>
      </c>
      <c r="I19" s="2">
        <f t="shared" si="6"/>
        <v>45991</v>
      </c>
      <c r="J19" s="2">
        <f t="shared" si="7"/>
        <v>45999</v>
      </c>
      <c r="K19">
        <f t="shared" si="8"/>
        <v>6</v>
      </c>
      <c r="L19">
        <f t="shared" ca="1" si="9"/>
        <v>230</v>
      </c>
      <c r="M19">
        <f t="shared" ca="1" si="10"/>
        <v>10</v>
      </c>
    </row>
    <row r="20" spans="1:13" x14ac:dyDescent="0.35">
      <c r="A20" t="str">
        <f>Sales!A20</f>
        <v>ORD-1019</v>
      </c>
      <c r="B20" s="2">
        <f>Sales!B20</f>
        <v>45919</v>
      </c>
      <c r="C20">
        <f t="shared" si="0"/>
        <v>2025</v>
      </c>
      <c r="D20">
        <f t="shared" si="1"/>
        <v>9</v>
      </c>
      <c r="E20">
        <f t="shared" si="2"/>
        <v>19</v>
      </c>
      <c r="F20">
        <f t="shared" si="3"/>
        <v>38</v>
      </c>
      <c r="G20" t="str">
        <f t="shared" si="4"/>
        <v>Sep</v>
      </c>
      <c r="H20" t="str">
        <f t="shared" si="5"/>
        <v>Sep-25</v>
      </c>
      <c r="I20" s="2">
        <f t="shared" si="6"/>
        <v>45930</v>
      </c>
      <c r="J20" s="2">
        <f t="shared" si="7"/>
        <v>45949</v>
      </c>
      <c r="K20">
        <f t="shared" si="8"/>
        <v>5</v>
      </c>
      <c r="L20">
        <f t="shared" ca="1" si="9"/>
        <v>266</v>
      </c>
      <c r="M20">
        <f t="shared" ca="1" si="10"/>
        <v>12</v>
      </c>
    </row>
    <row r="21" spans="1:13" x14ac:dyDescent="0.35">
      <c r="A21" t="str">
        <f>Sales!A21</f>
        <v>ORD-1020</v>
      </c>
      <c r="B21" s="2">
        <f>Sales!B21</f>
        <v>45794</v>
      </c>
      <c r="C21">
        <f t="shared" si="0"/>
        <v>2025</v>
      </c>
      <c r="D21">
        <f t="shared" si="1"/>
        <v>5</v>
      </c>
      <c r="E21">
        <f t="shared" si="2"/>
        <v>17</v>
      </c>
      <c r="F21">
        <f t="shared" si="3"/>
        <v>20</v>
      </c>
      <c r="G21" t="str">
        <f t="shared" si="4"/>
        <v>May</v>
      </c>
      <c r="H21" t="str">
        <f t="shared" si="5"/>
        <v>May-25</v>
      </c>
      <c r="I21" s="2">
        <f t="shared" si="6"/>
        <v>45808</v>
      </c>
      <c r="J21" s="2">
        <f t="shared" si="7"/>
        <v>45825</v>
      </c>
      <c r="K21">
        <f t="shared" si="8"/>
        <v>6</v>
      </c>
      <c r="L21">
        <f t="shared" ca="1" si="9"/>
        <v>355</v>
      </c>
      <c r="M21">
        <f t="shared" ca="1" si="10"/>
        <v>16</v>
      </c>
    </row>
    <row r="22" spans="1:13" x14ac:dyDescent="0.35">
      <c r="A22" t="str">
        <f>Sales!A22</f>
        <v>ORD-1021</v>
      </c>
      <c r="B22" s="2">
        <f>Sales!B22</f>
        <v>45746</v>
      </c>
      <c r="C22">
        <f t="shared" si="0"/>
        <v>2025</v>
      </c>
      <c r="D22">
        <f t="shared" si="1"/>
        <v>3</v>
      </c>
      <c r="E22">
        <f t="shared" si="2"/>
        <v>30</v>
      </c>
      <c r="F22">
        <f t="shared" si="3"/>
        <v>14</v>
      </c>
      <c r="G22" t="str">
        <f t="shared" si="4"/>
        <v>Mar</v>
      </c>
      <c r="H22" t="str">
        <f t="shared" si="5"/>
        <v>Mar-25</v>
      </c>
      <c r="I22" s="2">
        <f t="shared" si="6"/>
        <v>45747</v>
      </c>
      <c r="J22" s="2">
        <f t="shared" si="7"/>
        <v>45777</v>
      </c>
      <c r="K22">
        <f t="shared" si="8"/>
        <v>7</v>
      </c>
      <c r="L22">
        <f t="shared" ca="1" si="9"/>
        <v>390</v>
      </c>
      <c r="M22">
        <f t="shared" ca="1" si="10"/>
        <v>17</v>
      </c>
    </row>
    <row r="23" spans="1:13" x14ac:dyDescent="0.35">
      <c r="A23" t="str">
        <f>Sales!A23</f>
        <v>ORD-1022</v>
      </c>
      <c r="B23" s="2">
        <f>Sales!B23</f>
        <v>45868</v>
      </c>
      <c r="C23">
        <f t="shared" si="0"/>
        <v>2025</v>
      </c>
      <c r="D23">
        <f t="shared" si="1"/>
        <v>7</v>
      </c>
      <c r="E23">
        <f t="shared" si="2"/>
        <v>30</v>
      </c>
      <c r="F23">
        <f t="shared" si="3"/>
        <v>31</v>
      </c>
      <c r="G23" t="str">
        <f t="shared" si="4"/>
        <v>Jul</v>
      </c>
      <c r="H23" t="str">
        <f t="shared" si="5"/>
        <v>Jul-25</v>
      </c>
      <c r="I23" s="2">
        <f t="shared" si="6"/>
        <v>45869</v>
      </c>
      <c r="J23" s="2">
        <f t="shared" si="7"/>
        <v>45899</v>
      </c>
      <c r="K23">
        <f t="shared" si="8"/>
        <v>3</v>
      </c>
      <c r="L23">
        <f t="shared" ca="1" si="9"/>
        <v>303</v>
      </c>
      <c r="M23">
        <f t="shared" ca="1" si="10"/>
        <v>13</v>
      </c>
    </row>
    <row r="24" spans="1:13" x14ac:dyDescent="0.35">
      <c r="A24" t="str">
        <f>Sales!A24</f>
        <v>ORD-1023</v>
      </c>
      <c r="B24" s="2">
        <f>Sales!B24</f>
        <v>45694</v>
      </c>
      <c r="C24">
        <f t="shared" si="0"/>
        <v>2025</v>
      </c>
      <c r="D24">
        <f t="shared" si="1"/>
        <v>2</v>
      </c>
      <c r="E24">
        <f t="shared" si="2"/>
        <v>6</v>
      </c>
      <c r="F24">
        <f t="shared" si="3"/>
        <v>6</v>
      </c>
      <c r="G24" t="str">
        <f t="shared" si="4"/>
        <v>Feb</v>
      </c>
      <c r="H24" t="str">
        <f t="shared" si="5"/>
        <v>Feb-25</v>
      </c>
      <c r="I24" s="2">
        <f t="shared" si="6"/>
        <v>45716</v>
      </c>
      <c r="J24" s="2">
        <f t="shared" si="7"/>
        <v>45722</v>
      </c>
      <c r="K24">
        <f t="shared" si="8"/>
        <v>4</v>
      </c>
      <c r="L24">
        <f t="shared" ca="1" si="9"/>
        <v>427</v>
      </c>
      <c r="M24">
        <f t="shared" ca="1" si="10"/>
        <v>19</v>
      </c>
    </row>
    <row r="25" spans="1:13" x14ac:dyDescent="0.35">
      <c r="A25" t="str">
        <f>Sales!A25</f>
        <v>ORD-1024</v>
      </c>
      <c r="B25" s="2">
        <f>Sales!B25</f>
        <v>45930</v>
      </c>
      <c r="C25">
        <f t="shared" si="0"/>
        <v>2025</v>
      </c>
      <c r="D25">
        <f t="shared" si="1"/>
        <v>9</v>
      </c>
      <c r="E25">
        <f t="shared" si="2"/>
        <v>30</v>
      </c>
      <c r="F25">
        <f t="shared" si="3"/>
        <v>40</v>
      </c>
      <c r="G25" t="str">
        <f t="shared" si="4"/>
        <v>Sep</v>
      </c>
      <c r="H25" t="str">
        <f t="shared" si="5"/>
        <v>Sep-25</v>
      </c>
      <c r="I25" s="2">
        <f t="shared" si="6"/>
        <v>45930</v>
      </c>
      <c r="J25" s="2">
        <f t="shared" si="7"/>
        <v>45960</v>
      </c>
      <c r="K25">
        <f t="shared" si="8"/>
        <v>2</v>
      </c>
      <c r="L25">
        <f t="shared" ca="1" si="9"/>
        <v>259</v>
      </c>
      <c r="M25">
        <f t="shared" ca="1" si="10"/>
        <v>11</v>
      </c>
    </row>
    <row r="26" spans="1:13" x14ac:dyDescent="0.35">
      <c r="A26" t="str">
        <f>Sales!A26</f>
        <v>ORD-1025</v>
      </c>
      <c r="B26" s="2">
        <f>Sales!B26</f>
        <v>45769</v>
      </c>
      <c r="C26">
        <f t="shared" si="0"/>
        <v>2025</v>
      </c>
      <c r="D26">
        <f t="shared" si="1"/>
        <v>4</v>
      </c>
      <c r="E26">
        <f t="shared" si="2"/>
        <v>22</v>
      </c>
      <c r="F26">
        <f t="shared" si="3"/>
        <v>17</v>
      </c>
      <c r="G26" t="str">
        <f t="shared" si="4"/>
        <v>Apr</v>
      </c>
      <c r="H26" t="str">
        <f t="shared" si="5"/>
        <v>Apr-25</v>
      </c>
      <c r="I26" s="2">
        <f t="shared" si="6"/>
        <v>45777</v>
      </c>
      <c r="J26" s="2">
        <f t="shared" si="7"/>
        <v>45799</v>
      </c>
      <c r="K26">
        <f t="shared" si="8"/>
        <v>2</v>
      </c>
      <c r="L26">
        <f t="shared" ca="1" si="9"/>
        <v>374</v>
      </c>
      <c r="M26">
        <f t="shared" ca="1" si="10"/>
        <v>17</v>
      </c>
    </row>
    <row r="27" spans="1:13" x14ac:dyDescent="0.35">
      <c r="A27" t="str">
        <f>Sales!A27</f>
        <v>ORD-1026</v>
      </c>
      <c r="B27" s="2">
        <f>Sales!B27</f>
        <v>45927</v>
      </c>
      <c r="C27">
        <f t="shared" si="0"/>
        <v>2025</v>
      </c>
      <c r="D27">
        <f t="shared" si="1"/>
        <v>9</v>
      </c>
      <c r="E27">
        <f t="shared" si="2"/>
        <v>27</v>
      </c>
      <c r="F27">
        <f t="shared" si="3"/>
        <v>39</v>
      </c>
      <c r="G27" t="str">
        <f t="shared" si="4"/>
        <v>Sep</v>
      </c>
      <c r="H27" t="str">
        <f t="shared" si="5"/>
        <v>Sep-25</v>
      </c>
      <c r="I27" s="2">
        <f t="shared" si="6"/>
        <v>45930</v>
      </c>
      <c r="J27" s="2">
        <f t="shared" si="7"/>
        <v>45957</v>
      </c>
      <c r="K27">
        <f t="shared" si="8"/>
        <v>6</v>
      </c>
      <c r="L27">
        <f t="shared" ca="1" si="9"/>
        <v>260</v>
      </c>
      <c r="M27">
        <f t="shared" ca="1" si="10"/>
        <v>11</v>
      </c>
    </row>
    <row r="28" spans="1:13" x14ac:dyDescent="0.35">
      <c r="A28" t="str">
        <f>Sales!A28</f>
        <v>ORD-1027</v>
      </c>
      <c r="B28" s="2">
        <f>Sales!B28</f>
        <v>45756</v>
      </c>
      <c r="C28">
        <f t="shared" si="0"/>
        <v>2025</v>
      </c>
      <c r="D28">
        <f t="shared" si="1"/>
        <v>4</v>
      </c>
      <c r="E28">
        <f t="shared" si="2"/>
        <v>9</v>
      </c>
      <c r="F28">
        <f t="shared" si="3"/>
        <v>15</v>
      </c>
      <c r="G28" t="str">
        <f t="shared" si="4"/>
        <v>Apr</v>
      </c>
      <c r="H28" t="str">
        <f t="shared" si="5"/>
        <v>Apr-25</v>
      </c>
      <c r="I28" s="2">
        <f t="shared" si="6"/>
        <v>45777</v>
      </c>
      <c r="J28" s="2">
        <f t="shared" si="7"/>
        <v>45786</v>
      </c>
      <c r="K28">
        <f t="shared" si="8"/>
        <v>3</v>
      </c>
      <c r="L28">
        <f t="shared" ca="1" si="9"/>
        <v>383</v>
      </c>
      <c r="M28">
        <f t="shared" ca="1" si="10"/>
        <v>17</v>
      </c>
    </row>
    <row r="29" spans="1:13" x14ac:dyDescent="0.35">
      <c r="A29" t="str">
        <f>Sales!A29</f>
        <v>ORD-1028</v>
      </c>
      <c r="B29" s="2">
        <f>Sales!B29</f>
        <v>45739</v>
      </c>
      <c r="C29">
        <f t="shared" si="0"/>
        <v>2025</v>
      </c>
      <c r="D29">
        <f t="shared" si="1"/>
        <v>3</v>
      </c>
      <c r="E29">
        <f t="shared" si="2"/>
        <v>23</v>
      </c>
      <c r="F29">
        <f t="shared" si="3"/>
        <v>13</v>
      </c>
      <c r="G29" t="str">
        <f t="shared" si="4"/>
        <v>Mar</v>
      </c>
      <c r="H29" t="str">
        <f t="shared" si="5"/>
        <v>Mar-25</v>
      </c>
      <c r="I29" s="2">
        <f t="shared" si="6"/>
        <v>45747</v>
      </c>
      <c r="J29" s="2">
        <f t="shared" si="7"/>
        <v>45770</v>
      </c>
      <c r="K29">
        <f t="shared" si="8"/>
        <v>7</v>
      </c>
      <c r="L29">
        <f t="shared" ca="1" si="9"/>
        <v>395</v>
      </c>
      <c r="M29">
        <f t="shared" ca="1" si="10"/>
        <v>18</v>
      </c>
    </row>
    <row r="30" spans="1:13" x14ac:dyDescent="0.35">
      <c r="A30" t="str">
        <f>Sales!A30</f>
        <v>ORD-1029</v>
      </c>
      <c r="B30" s="2">
        <f>Sales!B30</f>
        <v>45763</v>
      </c>
      <c r="C30">
        <f t="shared" si="0"/>
        <v>2025</v>
      </c>
      <c r="D30">
        <f t="shared" si="1"/>
        <v>4</v>
      </c>
      <c r="E30">
        <f t="shared" si="2"/>
        <v>16</v>
      </c>
      <c r="F30">
        <f t="shared" si="3"/>
        <v>16</v>
      </c>
      <c r="G30" t="str">
        <f t="shared" si="4"/>
        <v>Apr</v>
      </c>
      <c r="H30" t="str">
        <f t="shared" si="5"/>
        <v>Apr-25</v>
      </c>
      <c r="I30" s="2">
        <f t="shared" si="6"/>
        <v>45777</v>
      </c>
      <c r="J30" s="2">
        <f t="shared" si="7"/>
        <v>45793</v>
      </c>
      <c r="K30">
        <f t="shared" si="8"/>
        <v>3</v>
      </c>
      <c r="L30">
        <f t="shared" ca="1" si="9"/>
        <v>378</v>
      </c>
      <c r="M30">
        <f t="shared" ca="1" si="10"/>
        <v>17</v>
      </c>
    </row>
    <row r="31" spans="1:13" x14ac:dyDescent="0.35">
      <c r="A31" t="str">
        <f>Sales!A31</f>
        <v>ORD-1030</v>
      </c>
      <c r="B31" s="2">
        <f>Sales!B31</f>
        <v>45753</v>
      </c>
      <c r="C31">
        <f t="shared" si="0"/>
        <v>2025</v>
      </c>
      <c r="D31">
        <f t="shared" si="1"/>
        <v>4</v>
      </c>
      <c r="E31">
        <f t="shared" si="2"/>
        <v>6</v>
      </c>
      <c r="F31">
        <f t="shared" si="3"/>
        <v>15</v>
      </c>
      <c r="G31" t="str">
        <f t="shared" si="4"/>
        <v>Apr</v>
      </c>
      <c r="H31" t="str">
        <f t="shared" si="5"/>
        <v>Apr-25</v>
      </c>
      <c r="I31" s="2">
        <f t="shared" si="6"/>
        <v>45777</v>
      </c>
      <c r="J31" s="2">
        <f t="shared" si="7"/>
        <v>45783</v>
      </c>
      <c r="K31">
        <f t="shared" si="8"/>
        <v>7</v>
      </c>
      <c r="L31">
        <f t="shared" ca="1" si="9"/>
        <v>385</v>
      </c>
      <c r="M31">
        <f t="shared" ca="1" si="10"/>
        <v>17</v>
      </c>
    </row>
    <row r="32" spans="1:13" x14ac:dyDescent="0.35">
      <c r="A32" t="str">
        <f>Sales!A32</f>
        <v>ORD-1031</v>
      </c>
      <c r="B32" s="2">
        <f>Sales!B32</f>
        <v>46005</v>
      </c>
      <c r="C32">
        <f t="shared" si="0"/>
        <v>2025</v>
      </c>
      <c r="D32">
        <f t="shared" si="1"/>
        <v>12</v>
      </c>
      <c r="E32">
        <f t="shared" si="2"/>
        <v>14</v>
      </c>
      <c r="F32">
        <f t="shared" si="3"/>
        <v>51</v>
      </c>
      <c r="G32" t="str">
        <f t="shared" si="4"/>
        <v>Dec</v>
      </c>
      <c r="H32" t="str">
        <f t="shared" si="5"/>
        <v>Dec-25</v>
      </c>
      <c r="I32" s="2">
        <f t="shared" si="6"/>
        <v>46022</v>
      </c>
      <c r="J32" s="2">
        <f t="shared" si="7"/>
        <v>46036</v>
      </c>
      <c r="K32">
        <f t="shared" si="8"/>
        <v>7</v>
      </c>
      <c r="L32">
        <f t="shared" ca="1" si="9"/>
        <v>205</v>
      </c>
      <c r="M32">
        <f t="shared" ca="1" si="10"/>
        <v>9</v>
      </c>
    </row>
    <row r="33" spans="1:13" x14ac:dyDescent="0.35">
      <c r="A33" t="str">
        <f>Sales!A33</f>
        <v>ORD-1032</v>
      </c>
      <c r="B33" s="2">
        <f>Sales!B33</f>
        <v>45827</v>
      </c>
      <c r="C33">
        <f t="shared" si="0"/>
        <v>2025</v>
      </c>
      <c r="D33">
        <f t="shared" si="1"/>
        <v>6</v>
      </c>
      <c r="E33">
        <f t="shared" si="2"/>
        <v>19</v>
      </c>
      <c r="F33">
        <f t="shared" si="3"/>
        <v>25</v>
      </c>
      <c r="G33" t="str">
        <f t="shared" si="4"/>
        <v>Jun</v>
      </c>
      <c r="H33" t="str">
        <f t="shared" si="5"/>
        <v>Jun-25</v>
      </c>
      <c r="I33" s="2">
        <f t="shared" si="6"/>
        <v>45838</v>
      </c>
      <c r="J33" s="2">
        <f t="shared" si="7"/>
        <v>45857</v>
      </c>
      <c r="K33">
        <f t="shared" si="8"/>
        <v>4</v>
      </c>
      <c r="L33">
        <f t="shared" ca="1" si="9"/>
        <v>332</v>
      </c>
      <c r="M33">
        <f t="shared" ca="1" si="10"/>
        <v>15</v>
      </c>
    </row>
    <row r="34" spans="1:13" x14ac:dyDescent="0.35">
      <c r="A34" t="str">
        <f>Sales!A34</f>
        <v>ORD-1033</v>
      </c>
      <c r="B34" s="2">
        <f>Sales!B34</f>
        <v>45952</v>
      </c>
      <c r="C34">
        <f t="shared" ref="C34:C65" si="11">YEAR(B34)</f>
        <v>2025</v>
      </c>
      <c r="D34">
        <f t="shared" ref="D34:D65" si="12">MONTH(B34)</f>
        <v>10</v>
      </c>
      <c r="E34">
        <f t="shared" ref="E34:E65" si="13">DAY(B34)</f>
        <v>22</v>
      </c>
      <c r="F34">
        <f t="shared" ref="F34:F65" si="14">WEEKNUM(B34)</f>
        <v>43</v>
      </c>
      <c r="G34" t="str">
        <f t="shared" ref="G34:G65" si="15">TEXT(B34,"mmm")</f>
        <v>Oct</v>
      </c>
      <c r="H34" t="str">
        <f t="shared" ref="H34:H65" si="16">TEXT(B34,"mmm-yy")</f>
        <v>Oct-25</v>
      </c>
      <c r="I34" s="2">
        <f t="shared" ref="I34:I65" si="17">EOMONTH(B34,0)</f>
        <v>45961</v>
      </c>
      <c r="J34" s="2">
        <f t="shared" ref="J34:J65" si="18">EDATE(B34,1)</f>
        <v>45983</v>
      </c>
      <c r="K34">
        <f t="shared" ref="K34:K65" si="19">WEEKDAY(B34,2)</f>
        <v>3</v>
      </c>
      <c r="L34">
        <f t="shared" ref="L34:L65" ca="1" si="20">NETWORKDAYS(B34,TODAY())</f>
        <v>243</v>
      </c>
      <c r="M34">
        <f t="shared" ref="M34:M65" ca="1" si="21">IFERROR(DATEDIF(B34,TODAY(),"m"),0)</f>
        <v>11</v>
      </c>
    </row>
    <row r="35" spans="1:13" x14ac:dyDescent="0.35">
      <c r="A35" t="str">
        <f>Sales!A35</f>
        <v>ORD-1034</v>
      </c>
      <c r="B35" s="2">
        <f>Sales!B35</f>
        <v>45783</v>
      </c>
      <c r="C35">
        <f t="shared" si="11"/>
        <v>2025</v>
      </c>
      <c r="D35">
        <f t="shared" si="12"/>
        <v>5</v>
      </c>
      <c r="E35">
        <f t="shared" si="13"/>
        <v>6</v>
      </c>
      <c r="F35">
        <f t="shared" si="14"/>
        <v>19</v>
      </c>
      <c r="G35" t="str">
        <f t="shared" si="15"/>
        <v>May</v>
      </c>
      <c r="H35" t="str">
        <f t="shared" si="16"/>
        <v>May-25</v>
      </c>
      <c r="I35" s="2">
        <f t="shared" si="17"/>
        <v>45808</v>
      </c>
      <c r="J35" s="2">
        <f t="shared" si="18"/>
        <v>45814</v>
      </c>
      <c r="K35">
        <f t="shared" si="19"/>
        <v>2</v>
      </c>
      <c r="L35">
        <f t="shared" ca="1" si="20"/>
        <v>364</v>
      </c>
      <c r="M35">
        <f t="shared" ca="1" si="21"/>
        <v>16</v>
      </c>
    </row>
    <row r="36" spans="1:13" x14ac:dyDescent="0.35">
      <c r="A36" t="str">
        <f>Sales!A36</f>
        <v>ORD-1035</v>
      </c>
      <c r="B36" s="2">
        <f>Sales!B36</f>
        <v>45691</v>
      </c>
      <c r="C36">
        <f t="shared" si="11"/>
        <v>2025</v>
      </c>
      <c r="D36">
        <f t="shared" si="12"/>
        <v>2</v>
      </c>
      <c r="E36">
        <f t="shared" si="13"/>
        <v>3</v>
      </c>
      <c r="F36">
        <f t="shared" si="14"/>
        <v>6</v>
      </c>
      <c r="G36" t="str">
        <f t="shared" si="15"/>
        <v>Feb</v>
      </c>
      <c r="H36" t="str">
        <f t="shared" si="16"/>
        <v>Feb-25</v>
      </c>
      <c r="I36" s="2">
        <f t="shared" si="17"/>
        <v>45716</v>
      </c>
      <c r="J36" s="2">
        <f t="shared" si="18"/>
        <v>45719</v>
      </c>
      <c r="K36">
        <f t="shared" si="19"/>
        <v>1</v>
      </c>
      <c r="L36">
        <f t="shared" ca="1" si="20"/>
        <v>430</v>
      </c>
      <c r="M36">
        <f t="shared" ca="1" si="21"/>
        <v>19</v>
      </c>
    </row>
    <row r="37" spans="1:13" x14ac:dyDescent="0.35">
      <c r="A37" t="str">
        <f>Sales!A37</f>
        <v>ORD-1036</v>
      </c>
      <c r="B37" s="2">
        <f>Sales!B37</f>
        <v>45923</v>
      </c>
      <c r="C37">
        <f t="shared" si="11"/>
        <v>2025</v>
      </c>
      <c r="D37">
        <f t="shared" si="12"/>
        <v>9</v>
      </c>
      <c r="E37">
        <f t="shared" si="13"/>
        <v>23</v>
      </c>
      <c r="F37">
        <f t="shared" si="14"/>
        <v>39</v>
      </c>
      <c r="G37" t="str">
        <f t="shared" si="15"/>
        <v>Sep</v>
      </c>
      <c r="H37" t="str">
        <f t="shared" si="16"/>
        <v>Sep-25</v>
      </c>
      <c r="I37" s="2">
        <f t="shared" si="17"/>
        <v>45930</v>
      </c>
      <c r="J37" s="2">
        <f t="shared" si="18"/>
        <v>45953</v>
      </c>
      <c r="K37">
        <f t="shared" si="19"/>
        <v>2</v>
      </c>
      <c r="L37">
        <f t="shared" ca="1" si="20"/>
        <v>264</v>
      </c>
      <c r="M37">
        <f t="shared" ca="1" si="21"/>
        <v>12</v>
      </c>
    </row>
    <row r="38" spans="1:13" x14ac:dyDescent="0.35">
      <c r="A38" t="str">
        <f>Sales!A38</f>
        <v>ORD-1037</v>
      </c>
      <c r="B38" s="2">
        <f>Sales!B38</f>
        <v>45891</v>
      </c>
      <c r="C38">
        <f t="shared" si="11"/>
        <v>2025</v>
      </c>
      <c r="D38">
        <f t="shared" si="12"/>
        <v>8</v>
      </c>
      <c r="E38">
        <f t="shared" si="13"/>
        <v>22</v>
      </c>
      <c r="F38">
        <f t="shared" si="14"/>
        <v>34</v>
      </c>
      <c r="G38" t="str">
        <f t="shared" si="15"/>
        <v>Aug</v>
      </c>
      <c r="H38" t="str">
        <f t="shared" si="16"/>
        <v>Aug-25</v>
      </c>
      <c r="I38" s="2">
        <f t="shared" si="17"/>
        <v>45900</v>
      </c>
      <c r="J38" s="2">
        <f t="shared" si="18"/>
        <v>45922</v>
      </c>
      <c r="K38">
        <f t="shared" si="19"/>
        <v>5</v>
      </c>
      <c r="L38">
        <f t="shared" ca="1" si="20"/>
        <v>286</v>
      </c>
      <c r="M38">
        <f t="shared" ca="1" si="21"/>
        <v>13</v>
      </c>
    </row>
    <row r="39" spans="1:13" x14ac:dyDescent="0.35">
      <c r="A39" t="str">
        <f>Sales!A39</f>
        <v>ORD-1038</v>
      </c>
      <c r="B39" s="2">
        <f>Sales!B39</f>
        <v>45806</v>
      </c>
      <c r="C39">
        <f t="shared" si="11"/>
        <v>2025</v>
      </c>
      <c r="D39">
        <f t="shared" si="12"/>
        <v>5</v>
      </c>
      <c r="E39">
        <f t="shared" si="13"/>
        <v>29</v>
      </c>
      <c r="F39">
        <f t="shared" si="14"/>
        <v>22</v>
      </c>
      <c r="G39" t="str">
        <f t="shared" si="15"/>
        <v>May</v>
      </c>
      <c r="H39" t="str">
        <f t="shared" si="16"/>
        <v>May-25</v>
      </c>
      <c r="I39" s="2">
        <f t="shared" si="17"/>
        <v>45808</v>
      </c>
      <c r="J39" s="2">
        <f t="shared" si="18"/>
        <v>45837</v>
      </c>
      <c r="K39">
        <f t="shared" si="19"/>
        <v>4</v>
      </c>
      <c r="L39">
        <f t="shared" ca="1" si="20"/>
        <v>347</v>
      </c>
      <c r="M39">
        <f t="shared" ca="1" si="21"/>
        <v>15</v>
      </c>
    </row>
    <row r="40" spans="1:13" x14ac:dyDescent="0.35">
      <c r="A40" t="str">
        <f>Sales!A40</f>
        <v>ORD-1039</v>
      </c>
      <c r="B40" s="2">
        <f>Sales!B40</f>
        <v>45805</v>
      </c>
      <c r="C40">
        <f t="shared" si="11"/>
        <v>2025</v>
      </c>
      <c r="D40">
        <f t="shared" si="12"/>
        <v>5</v>
      </c>
      <c r="E40">
        <f t="shared" si="13"/>
        <v>28</v>
      </c>
      <c r="F40">
        <f t="shared" si="14"/>
        <v>22</v>
      </c>
      <c r="G40" t="str">
        <f t="shared" si="15"/>
        <v>May</v>
      </c>
      <c r="H40" t="str">
        <f t="shared" si="16"/>
        <v>May-25</v>
      </c>
      <c r="I40" s="2">
        <f t="shared" si="17"/>
        <v>45808</v>
      </c>
      <c r="J40" s="2">
        <f t="shared" si="18"/>
        <v>45836</v>
      </c>
      <c r="K40">
        <f t="shared" si="19"/>
        <v>3</v>
      </c>
      <c r="L40">
        <f t="shared" ca="1" si="20"/>
        <v>348</v>
      </c>
      <c r="M40">
        <f t="shared" ca="1" si="21"/>
        <v>15</v>
      </c>
    </row>
    <row r="41" spans="1:13" x14ac:dyDescent="0.35">
      <c r="A41" t="str">
        <f>Sales!A41</f>
        <v>ORD-1040</v>
      </c>
      <c r="B41" s="2">
        <f>Sales!B41</f>
        <v>45983</v>
      </c>
      <c r="C41">
        <f t="shared" si="11"/>
        <v>2025</v>
      </c>
      <c r="D41">
        <f t="shared" si="12"/>
        <v>11</v>
      </c>
      <c r="E41">
        <f t="shared" si="13"/>
        <v>22</v>
      </c>
      <c r="F41">
        <f t="shared" si="14"/>
        <v>47</v>
      </c>
      <c r="G41" t="str">
        <f t="shared" si="15"/>
        <v>Nov</v>
      </c>
      <c r="H41" t="str">
        <f t="shared" si="16"/>
        <v>Nov-25</v>
      </c>
      <c r="I41" s="2">
        <f t="shared" si="17"/>
        <v>45991</v>
      </c>
      <c r="J41" s="2">
        <f t="shared" si="18"/>
        <v>46013</v>
      </c>
      <c r="K41">
        <f t="shared" si="19"/>
        <v>6</v>
      </c>
      <c r="L41">
        <f t="shared" ca="1" si="20"/>
        <v>220</v>
      </c>
      <c r="M41">
        <f t="shared" ca="1" si="21"/>
        <v>10</v>
      </c>
    </row>
    <row r="42" spans="1:13" x14ac:dyDescent="0.35">
      <c r="A42" t="str">
        <f>Sales!A42</f>
        <v>ORD-1041</v>
      </c>
      <c r="B42" s="2">
        <f>Sales!B42</f>
        <v>45832</v>
      </c>
      <c r="C42">
        <f t="shared" si="11"/>
        <v>2025</v>
      </c>
      <c r="D42">
        <f t="shared" si="12"/>
        <v>6</v>
      </c>
      <c r="E42">
        <f t="shared" si="13"/>
        <v>24</v>
      </c>
      <c r="F42">
        <f t="shared" si="14"/>
        <v>26</v>
      </c>
      <c r="G42" t="str">
        <f t="shared" si="15"/>
        <v>Jun</v>
      </c>
      <c r="H42" t="str">
        <f t="shared" si="16"/>
        <v>Jun-25</v>
      </c>
      <c r="I42" s="2">
        <f t="shared" si="17"/>
        <v>45838</v>
      </c>
      <c r="J42" s="2">
        <f t="shared" si="18"/>
        <v>45862</v>
      </c>
      <c r="K42">
        <f t="shared" si="19"/>
        <v>2</v>
      </c>
      <c r="L42">
        <f t="shared" ca="1" si="20"/>
        <v>329</v>
      </c>
      <c r="M42">
        <f t="shared" ca="1" si="21"/>
        <v>15</v>
      </c>
    </row>
    <row r="43" spans="1:13" x14ac:dyDescent="0.35">
      <c r="A43" t="str">
        <f>Sales!A43</f>
        <v>ORD-1042</v>
      </c>
      <c r="B43" s="2">
        <f>Sales!B43</f>
        <v>45904</v>
      </c>
      <c r="C43">
        <f t="shared" si="11"/>
        <v>2025</v>
      </c>
      <c r="D43">
        <f t="shared" si="12"/>
        <v>9</v>
      </c>
      <c r="E43">
        <f t="shared" si="13"/>
        <v>4</v>
      </c>
      <c r="F43">
        <f t="shared" si="14"/>
        <v>36</v>
      </c>
      <c r="G43" t="str">
        <f t="shared" si="15"/>
        <v>Sep</v>
      </c>
      <c r="H43" t="str">
        <f t="shared" si="16"/>
        <v>Sep-25</v>
      </c>
      <c r="I43" s="2">
        <f t="shared" si="17"/>
        <v>45930</v>
      </c>
      <c r="J43" s="2">
        <f t="shared" si="18"/>
        <v>45934</v>
      </c>
      <c r="K43">
        <f t="shared" si="19"/>
        <v>4</v>
      </c>
      <c r="L43">
        <f t="shared" ca="1" si="20"/>
        <v>277</v>
      </c>
      <c r="M43">
        <f t="shared" ca="1" si="21"/>
        <v>12</v>
      </c>
    </row>
    <row r="44" spans="1:13" x14ac:dyDescent="0.35">
      <c r="A44" t="str">
        <f>Sales!A44</f>
        <v>ORD-1043</v>
      </c>
      <c r="B44" s="2">
        <f>Sales!B44</f>
        <v>45923</v>
      </c>
      <c r="C44">
        <f t="shared" si="11"/>
        <v>2025</v>
      </c>
      <c r="D44">
        <f t="shared" si="12"/>
        <v>9</v>
      </c>
      <c r="E44">
        <f t="shared" si="13"/>
        <v>23</v>
      </c>
      <c r="F44">
        <f t="shared" si="14"/>
        <v>39</v>
      </c>
      <c r="G44" t="str">
        <f t="shared" si="15"/>
        <v>Sep</v>
      </c>
      <c r="H44" t="str">
        <f t="shared" si="16"/>
        <v>Sep-25</v>
      </c>
      <c r="I44" s="2">
        <f t="shared" si="17"/>
        <v>45930</v>
      </c>
      <c r="J44" s="2">
        <f t="shared" si="18"/>
        <v>45953</v>
      </c>
      <c r="K44">
        <f t="shared" si="19"/>
        <v>2</v>
      </c>
      <c r="L44">
        <f t="shared" ca="1" si="20"/>
        <v>264</v>
      </c>
      <c r="M44">
        <f t="shared" ca="1" si="21"/>
        <v>12</v>
      </c>
    </row>
    <row r="45" spans="1:13" x14ac:dyDescent="0.35">
      <c r="A45" t="str">
        <f>Sales!A45</f>
        <v>ORD-1044</v>
      </c>
      <c r="B45" s="2">
        <f>Sales!B45</f>
        <v>45810</v>
      </c>
      <c r="C45">
        <f t="shared" si="11"/>
        <v>2025</v>
      </c>
      <c r="D45">
        <f t="shared" si="12"/>
        <v>6</v>
      </c>
      <c r="E45">
        <f t="shared" si="13"/>
        <v>2</v>
      </c>
      <c r="F45">
        <f t="shared" si="14"/>
        <v>23</v>
      </c>
      <c r="G45" t="str">
        <f t="shared" si="15"/>
        <v>Jun</v>
      </c>
      <c r="H45" t="str">
        <f t="shared" si="16"/>
        <v>Jun-25</v>
      </c>
      <c r="I45" s="2">
        <f t="shared" si="17"/>
        <v>45838</v>
      </c>
      <c r="J45" s="2">
        <f t="shared" si="18"/>
        <v>45840</v>
      </c>
      <c r="K45">
        <f t="shared" si="19"/>
        <v>1</v>
      </c>
      <c r="L45">
        <f t="shared" ca="1" si="20"/>
        <v>345</v>
      </c>
      <c r="M45">
        <f t="shared" ca="1" si="21"/>
        <v>15</v>
      </c>
    </row>
    <row r="46" spans="1:13" x14ac:dyDescent="0.35">
      <c r="A46" t="str">
        <f>Sales!A46</f>
        <v>ORD-1045</v>
      </c>
      <c r="B46" s="2">
        <f>Sales!B46</f>
        <v>45976</v>
      </c>
      <c r="C46">
        <f t="shared" si="11"/>
        <v>2025</v>
      </c>
      <c r="D46">
        <f t="shared" si="12"/>
        <v>11</v>
      </c>
      <c r="E46">
        <f t="shared" si="13"/>
        <v>15</v>
      </c>
      <c r="F46">
        <f t="shared" si="14"/>
        <v>46</v>
      </c>
      <c r="G46" t="str">
        <f t="shared" si="15"/>
        <v>Nov</v>
      </c>
      <c r="H46" t="str">
        <f t="shared" si="16"/>
        <v>Nov-25</v>
      </c>
      <c r="I46" s="2">
        <f t="shared" si="17"/>
        <v>45991</v>
      </c>
      <c r="J46" s="2">
        <f t="shared" si="18"/>
        <v>46006</v>
      </c>
      <c r="K46">
        <f t="shared" si="19"/>
        <v>6</v>
      </c>
      <c r="L46">
        <f t="shared" ca="1" si="20"/>
        <v>225</v>
      </c>
      <c r="M46">
        <f t="shared" ca="1" si="21"/>
        <v>10</v>
      </c>
    </row>
    <row r="47" spans="1:13" x14ac:dyDescent="0.35">
      <c r="A47" t="str">
        <f>Sales!A47</f>
        <v>ORD-1046</v>
      </c>
      <c r="B47" s="2">
        <f>Sales!B47</f>
        <v>45770</v>
      </c>
      <c r="C47">
        <f t="shared" si="11"/>
        <v>2025</v>
      </c>
      <c r="D47">
        <f t="shared" si="12"/>
        <v>4</v>
      </c>
      <c r="E47">
        <f t="shared" si="13"/>
        <v>23</v>
      </c>
      <c r="F47">
        <f t="shared" si="14"/>
        <v>17</v>
      </c>
      <c r="G47" t="str">
        <f t="shared" si="15"/>
        <v>Apr</v>
      </c>
      <c r="H47" t="str">
        <f t="shared" si="16"/>
        <v>Apr-25</v>
      </c>
      <c r="I47" s="2">
        <f t="shared" si="17"/>
        <v>45777</v>
      </c>
      <c r="J47" s="2">
        <f t="shared" si="18"/>
        <v>45800</v>
      </c>
      <c r="K47">
        <f t="shared" si="19"/>
        <v>3</v>
      </c>
      <c r="L47">
        <f t="shared" ca="1" si="20"/>
        <v>373</v>
      </c>
      <c r="M47">
        <f t="shared" ca="1" si="21"/>
        <v>17</v>
      </c>
    </row>
    <row r="48" spans="1:13" x14ac:dyDescent="0.35">
      <c r="A48" t="str">
        <f>Sales!A48</f>
        <v>ORD-1047</v>
      </c>
      <c r="B48" s="2">
        <f>Sales!B48</f>
        <v>45664</v>
      </c>
      <c r="C48">
        <f t="shared" si="11"/>
        <v>2025</v>
      </c>
      <c r="D48">
        <f t="shared" si="12"/>
        <v>1</v>
      </c>
      <c r="E48">
        <f t="shared" si="13"/>
        <v>7</v>
      </c>
      <c r="F48">
        <f t="shared" si="14"/>
        <v>2</v>
      </c>
      <c r="G48" t="str">
        <f t="shared" si="15"/>
        <v>Jan</v>
      </c>
      <c r="H48" t="str">
        <f t="shared" si="16"/>
        <v>Jan-25</v>
      </c>
      <c r="I48" s="2">
        <f t="shared" si="17"/>
        <v>45688</v>
      </c>
      <c r="J48" s="2">
        <f t="shared" si="18"/>
        <v>45695</v>
      </c>
      <c r="K48">
        <f t="shared" si="19"/>
        <v>2</v>
      </c>
      <c r="L48">
        <f t="shared" ca="1" si="20"/>
        <v>449</v>
      </c>
      <c r="M48">
        <f t="shared" ca="1" si="21"/>
        <v>20</v>
      </c>
    </row>
    <row r="49" spans="1:13" x14ac:dyDescent="0.35">
      <c r="A49" t="str">
        <f>Sales!A49</f>
        <v>ORD-1048</v>
      </c>
      <c r="B49" s="2">
        <f>Sales!B49</f>
        <v>45733</v>
      </c>
      <c r="C49">
        <f t="shared" si="11"/>
        <v>2025</v>
      </c>
      <c r="D49">
        <f t="shared" si="12"/>
        <v>3</v>
      </c>
      <c r="E49">
        <f t="shared" si="13"/>
        <v>17</v>
      </c>
      <c r="F49">
        <f t="shared" si="14"/>
        <v>12</v>
      </c>
      <c r="G49" t="str">
        <f t="shared" si="15"/>
        <v>Mar</v>
      </c>
      <c r="H49" t="str">
        <f t="shared" si="16"/>
        <v>Mar-25</v>
      </c>
      <c r="I49" s="2">
        <f t="shared" si="17"/>
        <v>45747</v>
      </c>
      <c r="J49" s="2">
        <f t="shared" si="18"/>
        <v>45764</v>
      </c>
      <c r="K49">
        <f t="shared" si="19"/>
        <v>1</v>
      </c>
      <c r="L49">
        <f t="shared" ca="1" si="20"/>
        <v>400</v>
      </c>
      <c r="M49">
        <f t="shared" ca="1" si="21"/>
        <v>18</v>
      </c>
    </row>
    <row r="50" spans="1:13" x14ac:dyDescent="0.35">
      <c r="A50" t="str">
        <f>Sales!A50</f>
        <v>ORD-1049</v>
      </c>
      <c r="B50" s="2">
        <f>Sales!B50</f>
        <v>45748</v>
      </c>
      <c r="C50">
        <f t="shared" si="11"/>
        <v>2025</v>
      </c>
      <c r="D50">
        <f t="shared" si="12"/>
        <v>4</v>
      </c>
      <c r="E50">
        <f t="shared" si="13"/>
        <v>1</v>
      </c>
      <c r="F50">
        <f t="shared" si="14"/>
        <v>14</v>
      </c>
      <c r="G50" t="str">
        <f t="shared" si="15"/>
        <v>Apr</v>
      </c>
      <c r="H50" t="str">
        <f t="shared" si="16"/>
        <v>Apr-25</v>
      </c>
      <c r="I50" s="2">
        <f t="shared" si="17"/>
        <v>45777</v>
      </c>
      <c r="J50" s="2">
        <f t="shared" si="18"/>
        <v>45778</v>
      </c>
      <c r="K50">
        <f t="shared" si="19"/>
        <v>2</v>
      </c>
      <c r="L50">
        <f t="shared" ca="1" si="20"/>
        <v>389</v>
      </c>
      <c r="M50">
        <f t="shared" ca="1" si="21"/>
        <v>17</v>
      </c>
    </row>
    <row r="51" spans="1:13" x14ac:dyDescent="0.35">
      <c r="A51" t="str">
        <f>Sales!A51</f>
        <v>ORD-1050</v>
      </c>
      <c r="B51" s="2">
        <f>Sales!B51</f>
        <v>45730</v>
      </c>
      <c r="C51">
        <f t="shared" si="11"/>
        <v>2025</v>
      </c>
      <c r="D51">
        <f t="shared" si="12"/>
        <v>3</v>
      </c>
      <c r="E51">
        <f t="shared" si="13"/>
        <v>14</v>
      </c>
      <c r="F51">
        <f t="shared" si="14"/>
        <v>11</v>
      </c>
      <c r="G51" t="str">
        <f t="shared" si="15"/>
        <v>Mar</v>
      </c>
      <c r="H51" t="str">
        <f t="shared" si="16"/>
        <v>Mar-25</v>
      </c>
      <c r="I51" s="2">
        <f t="shared" si="17"/>
        <v>45747</v>
      </c>
      <c r="J51" s="2">
        <f t="shared" si="18"/>
        <v>45761</v>
      </c>
      <c r="K51">
        <f t="shared" si="19"/>
        <v>5</v>
      </c>
      <c r="L51">
        <f t="shared" ca="1" si="20"/>
        <v>401</v>
      </c>
      <c r="M51">
        <f t="shared" ca="1" si="21"/>
        <v>18</v>
      </c>
    </row>
    <row r="52" spans="1:13" x14ac:dyDescent="0.35">
      <c r="A52" t="str">
        <f>Sales!A52</f>
        <v>ORD-1051</v>
      </c>
      <c r="B52" s="2">
        <f>Sales!B52</f>
        <v>45785</v>
      </c>
      <c r="C52">
        <f t="shared" si="11"/>
        <v>2025</v>
      </c>
      <c r="D52">
        <f t="shared" si="12"/>
        <v>5</v>
      </c>
      <c r="E52">
        <f t="shared" si="13"/>
        <v>8</v>
      </c>
      <c r="F52">
        <f t="shared" si="14"/>
        <v>19</v>
      </c>
      <c r="G52" t="str">
        <f t="shared" si="15"/>
        <v>May</v>
      </c>
      <c r="H52" t="str">
        <f t="shared" si="16"/>
        <v>May-25</v>
      </c>
      <c r="I52" s="2">
        <f t="shared" si="17"/>
        <v>45808</v>
      </c>
      <c r="J52" s="2">
        <f t="shared" si="18"/>
        <v>45816</v>
      </c>
      <c r="K52">
        <f t="shared" si="19"/>
        <v>4</v>
      </c>
      <c r="L52">
        <f t="shared" ca="1" si="20"/>
        <v>362</v>
      </c>
      <c r="M52">
        <f t="shared" ca="1" si="21"/>
        <v>16</v>
      </c>
    </row>
    <row r="53" spans="1:13" x14ac:dyDescent="0.35">
      <c r="A53" t="str">
        <f>Sales!A53</f>
        <v>ORD-1052</v>
      </c>
      <c r="B53" s="2">
        <f>Sales!B53</f>
        <v>45818</v>
      </c>
      <c r="C53">
        <f t="shared" si="11"/>
        <v>2025</v>
      </c>
      <c r="D53">
        <f t="shared" si="12"/>
        <v>6</v>
      </c>
      <c r="E53">
        <f t="shared" si="13"/>
        <v>10</v>
      </c>
      <c r="F53">
        <f t="shared" si="14"/>
        <v>24</v>
      </c>
      <c r="G53" t="str">
        <f t="shared" si="15"/>
        <v>Jun</v>
      </c>
      <c r="H53" t="str">
        <f t="shared" si="16"/>
        <v>Jun-25</v>
      </c>
      <c r="I53" s="2">
        <f t="shared" si="17"/>
        <v>45838</v>
      </c>
      <c r="J53" s="2">
        <f t="shared" si="18"/>
        <v>45848</v>
      </c>
      <c r="K53">
        <f t="shared" si="19"/>
        <v>2</v>
      </c>
      <c r="L53">
        <f t="shared" ca="1" si="20"/>
        <v>339</v>
      </c>
      <c r="M53">
        <f t="shared" ca="1" si="21"/>
        <v>15</v>
      </c>
    </row>
    <row r="54" spans="1:13" x14ac:dyDescent="0.35">
      <c r="A54" t="str">
        <f>Sales!A54</f>
        <v>ORD-1053</v>
      </c>
      <c r="B54" s="2">
        <f>Sales!B54</f>
        <v>45716</v>
      </c>
      <c r="C54">
        <f t="shared" si="11"/>
        <v>2025</v>
      </c>
      <c r="D54">
        <f t="shared" si="12"/>
        <v>2</v>
      </c>
      <c r="E54">
        <f t="shared" si="13"/>
        <v>28</v>
      </c>
      <c r="F54">
        <f t="shared" si="14"/>
        <v>9</v>
      </c>
      <c r="G54" t="str">
        <f t="shared" si="15"/>
        <v>Feb</v>
      </c>
      <c r="H54" t="str">
        <f t="shared" si="16"/>
        <v>Feb-25</v>
      </c>
      <c r="I54" s="2">
        <f t="shared" si="17"/>
        <v>45716</v>
      </c>
      <c r="J54" s="2">
        <f t="shared" si="18"/>
        <v>45744</v>
      </c>
      <c r="K54">
        <f t="shared" si="19"/>
        <v>5</v>
      </c>
      <c r="L54">
        <f t="shared" ca="1" si="20"/>
        <v>411</v>
      </c>
      <c r="M54">
        <f t="shared" ca="1" si="21"/>
        <v>18</v>
      </c>
    </row>
    <row r="55" spans="1:13" x14ac:dyDescent="0.35">
      <c r="A55" t="str">
        <f>Sales!A55</f>
        <v>ORD-1054</v>
      </c>
      <c r="B55" s="2">
        <f>Sales!B55</f>
        <v>45820</v>
      </c>
      <c r="C55">
        <f t="shared" si="11"/>
        <v>2025</v>
      </c>
      <c r="D55">
        <f t="shared" si="12"/>
        <v>6</v>
      </c>
      <c r="E55">
        <f t="shared" si="13"/>
        <v>12</v>
      </c>
      <c r="F55">
        <f t="shared" si="14"/>
        <v>24</v>
      </c>
      <c r="G55" t="str">
        <f t="shared" si="15"/>
        <v>Jun</v>
      </c>
      <c r="H55" t="str">
        <f t="shared" si="16"/>
        <v>Jun-25</v>
      </c>
      <c r="I55" s="2">
        <f t="shared" si="17"/>
        <v>45838</v>
      </c>
      <c r="J55" s="2">
        <f t="shared" si="18"/>
        <v>45850</v>
      </c>
      <c r="K55">
        <f t="shared" si="19"/>
        <v>4</v>
      </c>
      <c r="L55">
        <f t="shared" ca="1" si="20"/>
        <v>337</v>
      </c>
      <c r="M55">
        <f t="shared" ca="1" si="21"/>
        <v>15</v>
      </c>
    </row>
    <row r="56" spans="1:13" x14ac:dyDescent="0.35">
      <c r="A56" t="str">
        <f>Sales!A56</f>
        <v>ORD-1055</v>
      </c>
      <c r="B56" s="2">
        <f>Sales!B56</f>
        <v>45968</v>
      </c>
      <c r="C56">
        <f t="shared" si="11"/>
        <v>2025</v>
      </c>
      <c r="D56">
        <f t="shared" si="12"/>
        <v>11</v>
      </c>
      <c r="E56">
        <f t="shared" si="13"/>
        <v>7</v>
      </c>
      <c r="F56">
        <f t="shared" si="14"/>
        <v>45</v>
      </c>
      <c r="G56" t="str">
        <f t="shared" si="15"/>
        <v>Nov</v>
      </c>
      <c r="H56" t="str">
        <f t="shared" si="16"/>
        <v>Nov-25</v>
      </c>
      <c r="I56" s="2">
        <f t="shared" si="17"/>
        <v>45991</v>
      </c>
      <c r="J56" s="2">
        <f t="shared" si="18"/>
        <v>45998</v>
      </c>
      <c r="K56">
        <f t="shared" si="19"/>
        <v>5</v>
      </c>
      <c r="L56">
        <f t="shared" ca="1" si="20"/>
        <v>231</v>
      </c>
      <c r="M56">
        <f t="shared" ca="1" si="21"/>
        <v>10</v>
      </c>
    </row>
    <row r="57" spans="1:13" x14ac:dyDescent="0.35">
      <c r="A57" t="str">
        <f>Sales!A57</f>
        <v>ORD-1056</v>
      </c>
      <c r="B57" s="2">
        <f>Sales!B57</f>
        <v>45747</v>
      </c>
      <c r="C57">
        <f t="shared" si="11"/>
        <v>2025</v>
      </c>
      <c r="D57">
        <f t="shared" si="12"/>
        <v>3</v>
      </c>
      <c r="E57">
        <f t="shared" si="13"/>
        <v>31</v>
      </c>
      <c r="F57">
        <f t="shared" si="14"/>
        <v>14</v>
      </c>
      <c r="G57" t="str">
        <f t="shared" si="15"/>
        <v>Mar</v>
      </c>
      <c r="H57" t="str">
        <f t="shared" si="16"/>
        <v>Mar-25</v>
      </c>
      <c r="I57" s="2">
        <f t="shared" si="17"/>
        <v>45747</v>
      </c>
      <c r="J57" s="2">
        <f t="shared" si="18"/>
        <v>45777</v>
      </c>
      <c r="K57">
        <f t="shared" si="19"/>
        <v>1</v>
      </c>
      <c r="L57">
        <f t="shared" ca="1" si="20"/>
        <v>390</v>
      </c>
      <c r="M57">
        <f t="shared" ca="1" si="21"/>
        <v>17</v>
      </c>
    </row>
    <row r="58" spans="1:13" x14ac:dyDescent="0.35">
      <c r="A58" t="str">
        <f>Sales!A58</f>
        <v>ORD-1057</v>
      </c>
      <c r="B58" s="2">
        <f>Sales!B58</f>
        <v>45920</v>
      </c>
      <c r="C58">
        <f t="shared" si="11"/>
        <v>2025</v>
      </c>
      <c r="D58">
        <f t="shared" si="12"/>
        <v>9</v>
      </c>
      <c r="E58">
        <f t="shared" si="13"/>
        <v>20</v>
      </c>
      <c r="F58">
        <f t="shared" si="14"/>
        <v>38</v>
      </c>
      <c r="G58" t="str">
        <f t="shared" si="15"/>
        <v>Sep</v>
      </c>
      <c r="H58" t="str">
        <f t="shared" si="16"/>
        <v>Sep-25</v>
      </c>
      <c r="I58" s="2">
        <f t="shared" si="17"/>
        <v>45930</v>
      </c>
      <c r="J58" s="2">
        <f t="shared" si="18"/>
        <v>45950</v>
      </c>
      <c r="K58">
        <f t="shared" si="19"/>
        <v>6</v>
      </c>
      <c r="L58">
        <f t="shared" ca="1" si="20"/>
        <v>265</v>
      </c>
      <c r="M58">
        <f t="shared" ca="1" si="21"/>
        <v>12</v>
      </c>
    </row>
    <row r="59" spans="1:13" x14ac:dyDescent="0.35">
      <c r="A59" t="str">
        <f>Sales!A59</f>
        <v>ORD-1058</v>
      </c>
      <c r="B59" s="2">
        <f>Sales!B59</f>
        <v>45703</v>
      </c>
      <c r="C59">
        <f t="shared" si="11"/>
        <v>2025</v>
      </c>
      <c r="D59">
        <f t="shared" si="12"/>
        <v>2</v>
      </c>
      <c r="E59">
        <f t="shared" si="13"/>
        <v>15</v>
      </c>
      <c r="F59">
        <f t="shared" si="14"/>
        <v>7</v>
      </c>
      <c r="G59" t="str">
        <f t="shared" si="15"/>
        <v>Feb</v>
      </c>
      <c r="H59" t="str">
        <f t="shared" si="16"/>
        <v>Feb-25</v>
      </c>
      <c r="I59" s="2">
        <f t="shared" si="17"/>
        <v>45716</v>
      </c>
      <c r="J59" s="2">
        <f t="shared" si="18"/>
        <v>45731</v>
      </c>
      <c r="K59">
        <f t="shared" si="19"/>
        <v>6</v>
      </c>
      <c r="L59">
        <f t="shared" ca="1" si="20"/>
        <v>420</v>
      </c>
      <c r="M59">
        <f t="shared" ca="1" si="21"/>
        <v>19</v>
      </c>
    </row>
    <row r="60" spans="1:13" x14ac:dyDescent="0.35">
      <c r="A60" t="str">
        <f>Sales!A60</f>
        <v>ORD-1059</v>
      </c>
      <c r="B60" s="2">
        <f>Sales!B60</f>
        <v>45844</v>
      </c>
      <c r="C60">
        <f t="shared" si="11"/>
        <v>2025</v>
      </c>
      <c r="D60">
        <f t="shared" si="12"/>
        <v>7</v>
      </c>
      <c r="E60">
        <f t="shared" si="13"/>
        <v>6</v>
      </c>
      <c r="F60">
        <f t="shared" si="14"/>
        <v>28</v>
      </c>
      <c r="G60" t="str">
        <f t="shared" si="15"/>
        <v>Jul</v>
      </c>
      <c r="H60" t="str">
        <f t="shared" si="16"/>
        <v>Jul-25</v>
      </c>
      <c r="I60" s="2">
        <f t="shared" si="17"/>
        <v>45869</v>
      </c>
      <c r="J60" s="2">
        <f t="shared" si="18"/>
        <v>45875</v>
      </c>
      <c r="K60">
        <f t="shared" si="19"/>
        <v>7</v>
      </c>
      <c r="L60">
        <f t="shared" ca="1" si="20"/>
        <v>320</v>
      </c>
      <c r="M60">
        <f t="shared" ca="1" si="21"/>
        <v>14</v>
      </c>
    </row>
    <row r="61" spans="1:13" x14ac:dyDescent="0.35">
      <c r="A61" t="str">
        <f>Sales!A61</f>
        <v>ORD-1060</v>
      </c>
      <c r="B61" s="2">
        <f>Sales!B61</f>
        <v>45713</v>
      </c>
      <c r="C61">
        <f t="shared" si="11"/>
        <v>2025</v>
      </c>
      <c r="D61">
        <f t="shared" si="12"/>
        <v>2</v>
      </c>
      <c r="E61">
        <f t="shared" si="13"/>
        <v>25</v>
      </c>
      <c r="F61">
        <f t="shared" si="14"/>
        <v>9</v>
      </c>
      <c r="G61" t="str">
        <f t="shared" si="15"/>
        <v>Feb</v>
      </c>
      <c r="H61" t="str">
        <f t="shared" si="16"/>
        <v>Feb-25</v>
      </c>
      <c r="I61" s="2">
        <f t="shared" si="17"/>
        <v>45716</v>
      </c>
      <c r="J61" s="2">
        <f t="shared" si="18"/>
        <v>45741</v>
      </c>
      <c r="K61">
        <f t="shared" si="19"/>
        <v>2</v>
      </c>
      <c r="L61">
        <f t="shared" ca="1" si="20"/>
        <v>414</v>
      </c>
      <c r="M61">
        <f t="shared" ca="1" si="21"/>
        <v>19</v>
      </c>
    </row>
    <row r="62" spans="1:13" x14ac:dyDescent="0.35">
      <c r="A62" t="str">
        <f>Sales!A62</f>
        <v>ORD-1061</v>
      </c>
      <c r="B62" s="2">
        <f>Sales!B62</f>
        <v>46007</v>
      </c>
      <c r="C62">
        <f t="shared" si="11"/>
        <v>2025</v>
      </c>
      <c r="D62">
        <f t="shared" si="12"/>
        <v>12</v>
      </c>
      <c r="E62">
        <f t="shared" si="13"/>
        <v>16</v>
      </c>
      <c r="F62">
        <f t="shared" si="14"/>
        <v>51</v>
      </c>
      <c r="G62" t="str">
        <f t="shared" si="15"/>
        <v>Dec</v>
      </c>
      <c r="H62" t="str">
        <f t="shared" si="16"/>
        <v>Dec-25</v>
      </c>
      <c r="I62" s="2">
        <f t="shared" si="17"/>
        <v>46022</v>
      </c>
      <c r="J62" s="2">
        <f t="shared" si="18"/>
        <v>46038</v>
      </c>
      <c r="K62">
        <f t="shared" si="19"/>
        <v>2</v>
      </c>
      <c r="L62">
        <f t="shared" ca="1" si="20"/>
        <v>204</v>
      </c>
      <c r="M62">
        <f t="shared" ca="1" si="21"/>
        <v>9</v>
      </c>
    </row>
    <row r="63" spans="1:13" x14ac:dyDescent="0.35">
      <c r="A63" t="str">
        <f>Sales!A63</f>
        <v>ORD-1062</v>
      </c>
      <c r="B63" s="2">
        <f>Sales!B63</f>
        <v>45661</v>
      </c>
      <c r="C63">
        <f t="shared" si="11"/>
        <v>2025</v>
      </c>
      <c r="D63">
        <f t="shared" si="12"/>
        <v>1</v>
      </c>
      <c r="E63">
        <f t="shared" si="13"/>
        <v>4</v>
      </c>
      <c r="F63">
        <f t="shared" si="14"/>
        <v>1</v>
      </c>
      <c r="G63" t="str">
        <f t="shared" si="15"/>
        <v>Jan</v>
      </c>
      <c r="H63" t="str">
        <f t="shared" si="16"/>
        <v>Jan-25</v>
      </c>
      <c r="I63" s="2">
        <f t="shared" si="17"/>
        <v>45688</v>
      </c>
      <c r="J63" s="2">
        <f t="shared" si="18"/>
        <v>45692</v>
      </c>
      <c r="K63">
        <f t="shared" si="19"/>
        <v>6</v>
      </c>
      <c r="L63">
        <f t="shared" ca="1" si="20"/>
        <v>450</v>
      </c>
      <c r="M63">
        <f t="shared" ca="1" si="21"/>
        <v>20</v>
      </c>
    </row>
    <row r="64" spans="1:13" x14ac:dyDescent="0.35">
      <c r="A64" t="str">
        <f>Sales!A64</f>
        <v>ORD-1063</v>
      </c>
      <c r="B64" s="2">
        <f>Sales!B64</f>
        <v>45704</v>
      </c>
      <c r="C64">
        <f t="shared" si="11"/>
        <v>2025</v>
      </c>
      <c r="D64">
        <f t="shared" si="12"/>
        <v>2</v>
      </c>
      <c r="E64">
        <f t="shared" si="13"/>
        <v>16</v>
      </c>
      <c r="F64">
        <f t="shared" si="14"/>
        <v>8</v>
      </c>
      <c r="G64" t="str">
        <f t="shared" si="15"/>
        <v>Feb</v>
      </c>
      <c r="H64" t="str">
        <f t="shared" si="16"/>
        <v>Feb-25</v>
      </c>
      <c r="I64" s="2">
        <f t="shared" si="17"/>
        <v>45716</v>
      </c>
      <c r="J64" s="2">
        <f t="shared" si="18"/>
        <v>45732</v>
      </c>
      <c r="K64">
        <f t="shared" si="19"/>
        <v>7</v>
      </c>
      <c r="L64">
        <f t="shared" ca="1" si="20"/>
        <v>420</v>
      </c>
      <c r="M64">
        <f t="shared" ca="1" si="21"/>
        <v>19</v>
      </c>
    </row>
    <row r="65" spans="1:13" x14ac:dyDescent="0.35">
      <c r="A65" t="str">
        <f>Sales!A65</f>
        <v>ORD-1064</v>
      </c>
      <c r="B65" s="2">
        <f>Sales!B65</f>
        <v>45839</v>
      </c>
      <c r="C65">
        <f t="shared" si="11"/>
        <v>2025</v>
      </c>
      <c r="D65">
        <f t="shared" si="12"/>
        <v>7</v>
      </c>
      <c r="E65">
        <f t="shared" si="13"/>
        <v>1</v>
      </c>
      <c r="F65">
        <f t="shared" si="14"/>
        <v>27</v>
      </c>
      <c r="G65" t="str">
        <f t="shared" si="15"/>
        <v>Jul</v>
      </c>
      <c r="H65" t="str">
        <f t="shared" si="16"/>
        <v>Jul-25</v>
      </c>
      <c r="I65" s="2">
        <f t="shared" si="17"/>
        <v>45869</v>
      </c>
      <c r="J65" s="2">
        <f t="shared" si="18"/>
        <v>45870</v>
      </c>
      <c r="K65">
        <f t="shared" si="19"/>
        <v>2</v>
      </c>
      <c r="L65">
        <f t="shared" ca="1" si="20"/>
        <v>324</v>
      </c>
      <c r="M65">
        <f t="shared" ca="1" si="21"/>
        <v>14</v>
      </c>
    </row>
    <row r="66" spans="1:13" x14ac:dyDescent="0.35">
      <c r="A66" t="str">
        <f>Sales!A66</f>
        <v>ORD-1065</v>
      </c>
      <c r="B66" s="2">
        <f>Sales!B66</f>
        <v>45823</v>
      </c>
      <c r="C66">
        <f t="shared" ref="C66:C97" si="22">YEAR(B66)</f>
        <v>2025</v>
      </c>
      <c r="D66">
        <f t="shared" ref="D66:D97" si="23">MONTH(B66)</f>
        <v>6</v>
      </c>
      <c r="E66">
        <f t="shared" ref="E66:E97" si="24">DAY(B66)</f>
        <v>15</v>
      </c>
      <c r="F66">
        <f t="shared" ref="F66:F97" si="25">WEEKNUM(B66)</f>
        <v>25</v>
      </c>
      <c r="G66" t="str">
        <f t="shared" ref="G66:G97" si="26">TEXT(B66,"mmm")</f>
        <v>Jun</v>
      </c>
      <c r="H66" t="str">
        <f t="shared" ref="H66:H97" si="27">TEXT(B66,"mmm-yy")</f>
        <v>Jun-25</v>
      </c>
      <c r="I66" s="2">
        <f t="shared" ref="I66:I97" si="28">EOMONTH(B66,0)</f>
        <v>45838</v>
      </c>
      <c r="J66" s="2">
        <f t="shared" ref="J66:J97" si="29">EDATE(B66,1)</f>
        <v>45853</v>
      </c>
      <c r="K66">
        <f t="shared" ref="K66:K97" si="30">WEEKDAY(B66,2)</f>
        <v>7</v>
      </c>
      <c r="L66">
        <f t="shared" ref="L66:L97" ca="1" si="31">NETWORKDAYS(B66,TODAY())</f>
        <v>335</v>
      </c>
      <c r="M66">
        <f t="shared" ref="M66:M97" ca="1" si="32">IFERROR(DATEDIF(B66,TODAY(),"m"),0)</f>
        <v>15</v>
      </c>
    </row>
    <row r="67" spans="1:13" x14ac:dyDescent="0.35">
      <c r="A67" t="str">
        <f>Sales!A67</f>
        <v>ORD-1066</v>
      </c>
      <c r="B67" s="2">
        <f>Sales!B67</f>
        <v>45881</v>
      </c>
      <c r="C67">
        <f t="shared" si="22"/>
        <v>2025</v>
      </c>
      <c r="D67">
        <f t="shared" si="23"/>
        <v>8</v>
      </c>
      <c r="E67">
        <f t="shared" si="24"/>
        <v>12</v>
      </c>
      <c r="F67">
        <f t="shared" si="25"/>
        <v>33</v>
      </c>
      <c r="G67" t="str">
        <f t="shared" si="26"/>
        <v>Aug</v>
      </c>
      <c r="H67" t="str">
        <f t="shared" si="27"/>
        <v>Aug-25</v>
      </c>
      <c r="I67" s="2">
        <f t="shared" si="28"/>
        <v>45900</v>
      </c>
      <c r="J67" s="2">
        <f t="shared" si="29"/>
        <v>45912</v>
      </c>
      <c r="K67">
        <f t="shared" si="30"/>
        <v>2</v>
      </c>
      <c r="L67">
        <f t="shared" ca="1" si="31"/>
        <v>294</v>
      </c>
      <c r="M67">
        <f t="shared" ca="1" si="32"/>
        <v>13</v>
      </c>
    </row>
    <row r="68" spans="1:13" x14ac:dyDescent="0.35">
      <c r="A68" t="str">
        <f>Sales!A68</f>
        <v>ORD-1067</v>
      </c>
      <c r="B68" s="2">
        <f>Sales!B68</f>
        <v>46013</v>
      </c>
      <c r="C68">
        <f t="shared" si="22"/>
        <v>2025</v>
      </c>
      <c r="D68">
        <f t="shared" si="23"/>
        <v>12</v>
      </c>
      <c r="E68">
        <f t="shared" si="24"/>
        <v>22</v>
      </c>
      <c r="F68">
        <f t="shared" si="25"/>
        <v>52</v>
      </c>
      <c r="G68" t="str">
        <f t="shared" si="26"/>
        <v>Dec</v>
      </c>
      <c r="H68" t="str">
        <f t="shared" si="27"/>
        <v>Dec-25</v>
      </c>
      <c r="I68" s="2">
        <f t="shared" si="28"/>
        <v>46022</v>
      </c>
      <c r="J68" s="2">
        <f t="shared" si="29"/>
        <v>46044</v>
      </c>
      <c r="K68">
        <f t="shared" si="30"/>
        <v>1</v>
      </c>
      <c r="L68">
        <f t="shared" ca="1" si="31"/>
        <v>200</v>
      </c>
      <c r="M68">
        <f t="shared" ca="1" si="32"/>
        <v>9</v>
      </c>
    </row>
    <row r="69" spans="1:13" x14ac:dyDescent="0.35">
      <c r="A69" t="str">
        <f>Sales!A69</f>
        <v>ORD-1068</v>
      </c>
      <c r="B69" s="2">
        <f>Sales!B69</f>
        <v>45787</v>
      </c>
      <c r="C69">
        <f t="shared" si="22"/>
        <v>2025</v>
      </c>
      <c r="D69">
        <f t="shared" si="23"/>
        <v>5</v>
      </c>
      <c r="E69">
        <f t="shared" si="24"/>
        <v>10</v>
      </c>
      <c r="F69">
        <f t="shared" si="25"/>
        <v>19</v>
      </c>
      <c r="G69" t="str">
        <f t="shared" si="26"/>
        <v>May</v>
      </c>
      <c r="H69" t="str">
        <f t="shared" si="27"/>
        <v>May-25</v>
      </c>
      <c r="I69" s="2">
        <f t="shared" si="28"/>
        <v>45808</v>
      </c>
      <c r="J69" s="2">
        <f t="shared" si="29"/>
        <v>45818</v>
      </c>
      <c r="K69">
        <f t="shared" si="30"/>
        <v>6</v>
      </c>
      <c r="L69">
        <f t="shared" ca="1" si="31"/>
        <v>360</v>
      </c>
      <c r="M69">
        <f t="shared" ca="1" si="32"/>
        <v>16</v>
      </c>
    </row>
    <row r="70" spans="1:13" x14ac:dyDescent="0.35">
      <c r="A70" t="str">
        <f>Sales!A70</f>
        <v>ORD-1069</v>
      </c>
      <c r="B70" s="2">
        <f>Sales!B70</f>
        <v>45850</v>
      </c>
      <c r="C70">
        <f t="shared" si="22"/>
        <v>2025</v>
      </c>
      <c r="D70">
        <f t="shared" si="23"/>
        <v>7</v>
      </c>
      <c r="E70">
        <f t="shared" si="24"/>
        <v>12</v>
      </c>
      <c r="F70">
        <f t="shared" si="25"/>
        <v>28</v>
      </c>
      <c r="G70" t="str">
        <f t="shared" si="26"/>
        <v>Jul</v>
      </c>
      <c r="H70" t="str">
        <f t="shared" si="27"/>
        <v>Jul-25</v>
      </c>
      <c r="I70" s="2">
        <f t="shared" si="28"/>
        <v>45869</v>
      </c>
      <c r="J70" s="2">
        <f t="shared" si="29"/>
        <v>45881</v>
      </c>
      <c r="K70">
        <f t="shared" si="30"/>
        <v>6</v>
      </c>
      <c r="L70">
        <f t="shared" ca="1" si="31"/>
        <v>315</v>
      </c>
      <c r="M70">
        <f t="shared" ca="1" si="32"/>
        <v>14</v>
      </c>
    </row>
    <row r="71" spans="1:13" x14ac:dyDescent="0.35">
      <c r="A71" t="str">
        <f>Sales!A71</f>
        <v>ORD-1070</v>
      </c>
      <c r="B71" s="2">
        <f>Sales!B71</f>
        <v>46005</v>
      </c>
      <c r="C71">
        <f t="shared" si="22"/>
        <v>2025</v>
      </c>
      <c r="D71">
        <f t="shared" si="23"/>
        <v>12</v>
      </c>
      <c r="E71">
        <f t="shared" si="24"/>
        <v>14</v>
      </c>
      <c r="F71">
        <f t="shared" si="25"/>
        <v>51</v>
      </c>
      <c r="G71" t="str">
        <f t="shared" si="26"/>
        <v>Dec</v>
      </c>
      <c r="H71" t="str">
        <f t="shared" si="27"/>
        <v>Dec-25</v>
      </c>
      <c r="I71" s="2">
        <f t="shared" si="28"/>
        <v>46022</v>
      </c>
      <c r="J71" s="2">
        <f t="shared" si="29"/>
        <v>46036</v>
      </c>
      <c r="K71">
        <f t="shared" si="30"/>
        <v>7</v>
      </c>
      <c r="L71">
        <f t="shared" ca="1" si="31"/>
        <v>205</v>
      </c>
      <c r="M71">
        <f t="shared" ca="1" si="32"/>
        <v>9</v>
      </c>
    </row>
    <row r="72" spans="1:13" x14ac:dyDescent="0.35">
      <c r="A72" t="str">
        <f>Sales!A72</f>
        <v>ORD-1071</v>
      </c>
      <c r="B72" s="2">
        <f>Sales!B72</f>
        <v>45961</v>
      </c>
      <c r="C72">
        <f t="shared" si="22"/>
        <v>2025</v>
      </c>
      <c r="D72">
        <f t="shared" si="23"/>
        <v>10</v>
      </c>
      <c r="E72">
        <f t="shared" si="24"/>
        <v>31</v>
      </c>
      <c r="F72">
        <f t="shared" si="25"/>
        <v>44</v>
      </c>
      <c r="G72" t="str">
        <f t="shared" si="26"/>
        <v>Oct</v>
      </c>
      <c r="H72" t="str">
        <f t="shared" si="27"/>
        <v>Oct-25</v>
      </c>
      <c r="I72" s="2">
        <f t="shared" si="28"/>
        <v>45961</v>
      </c>
      <c r="J72" s="2">
        <f t="shared" si="29"/>
        <v>45991</v>
      </c>
      <c r="K72">
        <f t="shared" si="30"/>
        <v>5</v>
      </c>
      <c r="L72">
        <f t="shared" ca="1" si="31"/>
        <v>236</v>
      </c>
      <c r="M72">
        <f t="shared" ca="1" si="32"/>
        <v>10</v>
      </c>
    </row>
    <row r="73" spans="1:13" x14ac:dyDescent="0.35">
      <c r="A73" t="str">
        <f>Sales!A73</f>
        <v>ORD-1072</v>
      </c>
      <c r="B73" s="2">
        <f>Sales!B73</f>
        <v>45678</v>
      </c>
      <c r="C73">
        <f t="shared" si="22"/>
        <v>2025</v>
      </c>
      <c r="D73">
        <f t="shared" si="23"/>
        <v>1</v>
      </c>
      <c r="E73">
        <f t="shared" si="24"/>
        <v>21</v>
      </c>
      <c r="F73">
        <f t="shared" si="25"/>
        <v>4</v>
      </c>
      <c r="G73" t="str">
        <f t="shared" si="26"/>
        <v>Jan</v>
      </c>
      <c r="H73" t="str">
        <f t="shared" si="27"/>
        <v>Jan-25</v>
      </c>
      <c r="I73" s="2">
        <f t="shared" si="28"/>
        <v>45688</v>
      </c>
      <c r="J73" s="2">
        <f t="shared" si="29"/>
        <v>45709</v>
      </c>
      <c r="K73">
        <f t="shared" si="30"/>
        <v>2</v>
      </c>
      <c r="L73">
        <f t="shared" ca="1" si="31"/>
        <v>439</v>
      </c>
      <c r="M73">
        <f t="shared" ca="1" si="32"/>
        <v>20</v>
      </c>
    </row>
    <row r="74" spans="1:13" x14ac:dyDescent="0.35">
      <c r="A74" t="str">
        <f>Sales!A74</f>
        <v>ORD-1073</v>
      </c>
      <c r="B74" s="2">
        <f>Sales!B74</f>
        <v>46012</v>
      </c>
      <c r="C74">
        <f t="shared" si="22"/>
        <v>2025</v>
      </c>
      <c r="D74">
        <f t="shared" si="23"/>
        <v>12</v>
      </c>
      <c r="E74">
        <f t="shared" si="24"/>
        <v>21</v>
      </c>
      <c r="F74">
        <f t="shared" si="25"/>
        <v>52</v>
      </c>
      <c r="G74" t="str">
        <f t="shared" si="26"/>
        <v>Dec</v>
      </c>
      <c r="H74" t="str">
        <f t="shared" si="27"/>
        <v>Dec-25</v>
      </c>
      <c r="I74" s="2">
        <f t="shared" si="28"/>
        <v>46022</v>
      </c>
      <c r="J74" s="2">
        <f t="shared" si="29"/>
        <v>46043</v>
      </c>
      <c r="K74">
        <f t="shared" si="30"/>
        <v>7</v>
      </c>
      <c r="L74">
        <f t="shared" ca="1" si="31"/>
        <v>200</v>
      </c>
      <c r="M74">
        <f t="shared" ca="1" si="32"/>
        <v>9</v>
      </c>
    </row>
    <row r="75" spans="1:13" x14ac:dyDescent="0.35">
      <c r="A75" t="str">
        <f>Sales!A75</f>
        <v>ORD-1074</v>
      </c>
      <c r="B75" s="2">
        <f>Sales!B75</f>
        <v>45706</v>
      </c>
      <c r="C75">
        <f t="shared" si="22"/>
        <v>2025</v>
      </c>
      <c r="D75">
        <f t="shared" si="23"/>
        <v>2</v>
      </c>
      <c r="E75">
        <f t="shared" si="24"/>
        <v>18</v>
      </c>
      <c r="F75">
        <f t="shared" si="25"/>
        <v>8</v>
      </c>
      <c r="G75" t="str">
        <f t="shared" si="26"/>
        <v>Feb</v>
      </c>
      <c r="H75" t="str">
        <f t="shared" si="27"/>
        <v>Feb-25</v>
      </c>
      <c r="I75" s="2">
        <f t="shared" si="28"/>
        <v>45716</v>
      </c>
      <c r="J75" s="2">
        <f t="shared" si="29"/>
        <v>45734</v>
      </c>
      <c r="K75">
        <f t="shared" si="30"/>
        <v>2</v>
      </c>
      <c r="L75">
        <f t="shared" ca="1" si="31"/>
        <v>419</v>
      </c>
      <c r="M75">
        <f t="shared" ca="1" si="32"/>
        <v>19</v>
      </c>
    </row>
    <row r="76" spans="1:13" x14ac:dyDescent="0.35">
      <c r="A76" t="str">
        <f>Sales!A76</f>
        <v>ORD-1075</v>
      </c>
      <c r="B76" s="2">
        <f>Sales!B76</f>
        <v>45704</v>
      </c>
      <c r="C76">
        <f t="shared" si="22"/>
        <v>2025</v>
      </c>
      <c r="D76">
        <f t="shared" si="23"/>
        <v>2</v>
      </c>
      <c r="E76">
        <f t="shared" si="24"/>
        <v>16</v>
      </c>
      <c r="F76">
        <f t="shared" si="25"/>
        <v>8</v>
      </c>
      <c r="G76" t="str">
        <f t="shared" si="26"/>
        <v>Feb</v>
      </c>
      <c r="H76" t="str">
        <f t="shared" si="27"/>
        <v>Feb-25</v>
      </c>
      <c r="I76" s="2">
        <f t="shared" si="28"/>
        <v>45716</v>
      </c>
      <c r="J76" s="2">
        <f t="shared" si="29"/>
        <v>45732</v>
      </c>
      <c r="K76">
        <f t="shared" si="30"/>
        <v>7</v>
      </c>
      <c r="L76">
        <f t="shared" ca="1" si="31"/>
        <v>420</v>
      </c>
      <c r="M76">
        <f t="shared" ca="1" si="32"/>
        <v>19</v>
      </c>
    </row>
    <row r="77" spans="1:13" x14ac:dyDescent="0.35">
      <c r="A77" t="str">
        <f>Sales!A77</f>
        <v>ORD-1076</v>
      </c>
      <c r="B77" s="2">
        <f>Sales!B77</f>
        <v>45757</v>
      </c>
      <c r="C77">
        <f t="shared" si="22"/>
        <v>2025</v>
      </c>
      <c r="D77">
        <f t="shared" si="23"/>
        <v>4</v>
      </c>
      <c r="E77">
        <f t="shared" si="24"/>
        <v>10</v>
      </c>
      <c r="F77">
        <f t="shared" si="25"/>
        <v>15</v>
      </c>
      <c r="G77" t="str">
        <f t="shared" si="26"/>
        <v>Apr</v>
      </c>
      <c r="H77" t="str">
        <f t="shared" si="27"/>
        <v>Apr-25</v>
      </c>
      <c r="I77" s="2">
        <f t="shared" si="28"/>
        <v>45777</v>
      </c>
      <c r="J77" s="2">
        <f t="shared" si="29"/>
        <v>45787</v>
      </c>
      <c r="K77">
        <f t="shared" si="30"/>
        <v>4</v>
      </c>
      <c r="L77">
        <f t="shared" ca="1" si="31"/>
        <v>382</v>
      </c>
      <c r="M77">
        <f t="shared" ca="1" si="32"/>
        <v>17</v>
      </c>
    </row>
    <row r="78" spans="1:13" x14ac:dyDescent="0.35">
      <c r="A78" t="str">
        <f>Sales!A78</f>
        <v>ORD-1077</v>
      </c>
      <c r="B78" s="2">
        <f>Sales!B78</f>
        <v>45914</v>
      </c>
      <c r="C78">
        <f t="shared" si="22"/>
        <v>2025</v>
      </c>
      <c r="D78">
        <f t="shared" si="23"/>
        <v>9</v>
      </c>
      <c r="E78">
        <f t="shared" si="24"/>
        <v>14</v>
      </c>
      <c r="F78">
        <f t="shared" si="25"/>
        <v>38</v>
      </c>
      <c r="G78" t="str">
        <f t="shared" si="26"/>
        <v>Sep</v>
      </c>
      <c r="H78" t="str">
        <f t="shared" si="27"/>
        <v>Sep-25</v>
      </c>
      <c r="I78" s="2">
        <f t="shared" si="28"/>
        <v>45930</v>
      </c>
      <c r="J78" s="2">
        <f t="shared" si="29"/>
        <v>45944</v>
      </c>
      <c r="K78">
        <f t="shared" si="30"/>
        <v>7</v>
      </c>
      <c r="L78">
        <f t="shared" ca="1" si="31"/>
        <v>270</v>
      </c>
      <c r="M78">
        <f t="shared" ca="1" si="32"/>
        <v>12</v>
      </c>
    </row>
    <row r="79" spans="1:13" x14ac:dyDescent="0.35">
      <c r="A79" t="str">
        <f>Sales!A79</f>
        <v>ORD-1078</v>
      </c>
      <c r="B79" s="2">
        <f>Sales!B79</f>
        <v>45989</v>
      </c>
      <c r="C79">
        <f t="shared" si="22"/>
        <v>2025</v>
      </c>
      <c r="D79">
        <f t="shared" si="23"/>
        <v>11</v>
      </c>
      <c r="E79">
        <f t="shared" si="24"/>
        <v>28</v>
      </c>
      <c r="F79">
        <f t="shared" si="25"/>
        <v>48</v>
      </c>
      <c r="G79" t="str">
        <f t="shared" si="26"/>
        <v>Nov</v>
      </c>
      <c r="H79" t="str">
        <f t="shared" si="27"/>
        <v>Nov-25</v>
      </c>
      <c r="I79" s="2">
        <f t="shared" si="28"/>
        <v>45991</v>
      </c>
      <c r="J79" s="2">
        <f t="shared" si="29"/>
        <v>46019</v>
      </c>
      <c r="K79">
        <f t="shared" si="30"/>
        <v>5</v>
      </c>
      <c r="L79">
        <f t="shared" ca="1" si="31"/>
        <v>216</v>
      </c>
      <c r="M79">
        <f t="shared" ca="1" si="32"/>
        <v>9</v>
      </c>
    </row>
    <row r="80" spans="1:13" x14ac:dyDescent="0.35">
      <c r="A80" t="str">
        <f>Sales!A80</f>
        <v>ORD-1079</v>
      </c>
      <c r="B80" s="2">
        <f>Sales!B80</f>
        <v>46004</v>
      </c>
      <c r="C80">
        <f t="shared" si="22"/>
        <v>2025</v>
      </c>
      <c r="D80">
        <f t="shared" si="23"/>
        <v>12</v>
      </c>
      <c r="E80">
        <f t="shared" si="24"/>
        <v>13</v>
      </c>
      <c r="F80">
        <f t="shared" si="25"/>
        <v>50</v>
      </c>
      <c r="G80" t="str">
        <f t="shared" si="26"/>
        <v>Dec</v>
      </c>
      <c r="H80" t="str">
        <f t="shared" si="27"/>
        <v>Dec-25</v>
      </c>
      <c r="I80" s="2">
        <f t="shared" si="28"/>
        <v>46022</v>
      </c>
      <c r="J80" s="2">
        <f t="shared" si="29"/>
        <v>46035</v>
      </c>
      <c r="K80">
        <f t="shared" si="30"/>
        <v>6</v>
      </c>
      <c r="L80">
        <f t="shared" ca="1" si="31"/>
        <v>205</v>
      </c>
      <c r="M80">
        <f t="shared" ca="1" si="32"/>
        <v>9</v>
      </c>
    </row>
    <row r="81" spans="1:13" x14ac:dyDescent="0.35">
      <c r="A81" t="str">
        <f>Sales!A81</f>
        <v>ORD-1080</v>
      </c>
      <c r="B81" s="2">
        <f>Sales!B81</f>
        <v>45939</v>
      </c>
      <c r="C81">
        <f t="shared" si="22"/>
        <v>2025</v>
      </c>
      <c r="D81">
        <f t="shared" si="23"/>
        <v>10</v>
      </c>
      <c r="E81">
        <f t="shared" si="24"/>
        <v>9</v>
      </c>
      <c r="F81">
        <f t="shared" si="25"/>
        <v>41</v>
      </c>
      <c r="G81" t="str">
        <f t="shared" si="26"/>
        <v>Oct</v>
      </c>
      <c r="H81" t="str">
        <f t="shared" si="27"/>
        <v>Oct-25</v>
      </c>
      <c r="I81" s="2">
        <f t="shared" si="28"/>
        <v>45961</v>
      </c>
      <c r="J81" s="2">
        <f t="shared" si="29"/>
        <v>45970</v>
      </c>
      <c r="K81">
        <f t="shared" si="30"/>
        <v>4</v>
      </c>
      <c r="L81">
        <f t="shared" ca="1" si="31"/>
        <v>252</v>
      </c>
      <c r="M81">
        <f t="shared" ca="1" si="32"/>
        <v>11</v>
      </c>
    </row>
    <row r="82" spans="1:13" x14ac:dyDescent="0.35">
      <c r="A82" t="str">
        <f>Sales!A82</f>
        <v>ORD-1081</v>
      </c>
      <c r="B82" s="2">
        <f>Sales!B82</f>
        <v>45739</v>
      </c>
      <c r="C82">
        <f t="shared" si="22"/>
        <v>2025</v>
      </c>
      <c r="D82">
        <f t="shared" si="23"/>
        <v>3</v>
      </c>
      <c r="E82">
        <f t="shared" si="24"/>
        <v>23</v>
      </c>
      <c r="F82">
        <f t="shared" si="25"/>
        <v>13</v>
      </c>
      <c r="G82" t="str">
        <f t="shared" si="26"/>
        <v>Mar</v>
      </c>
      <c r="H82" t="str">
        <f t="shared" si="27"/>
        <v>Mar-25</v>
      </c>
      <c r="I82" s="2">
        <f t="shared" si="28"/>
        <v>45747</v>
      </c>
      <c r="J82" s="2">
        <f t="shared" si="29"/>
        <v>45770</v>
      </c>
      <c r="K82">
        <f t="shared" si="30"/>
        <v>7</v>
      </c>
      <c r="L82">
        <f t="shared" ca="1" si="31"/>
        <v>395</v>
      </c>
      <c r="M82">
        <f t="shared" ca="1" si="32"/>
        <v>18</v>
      </c>
    </row>
    <row r="83" spans="1:13" x14ac:dyDescent="0.35">
      <c r="A83" t="str">
        <f>Sales!A83</f>
        <v>ORD-1082</v>
      </c>
      <c r="B83" s="2">
        <f>Sales!B83</f>
        <v>45769</v>
      </c>
      <c r="C83">
        <f t="shared" si="22"/>
        <v>2025</v>
      </c>
      <c r="D83">
        <f t="shared" si="23"/>
        <v>4</v>
      </c>
      <c r="E83">
        <f t="shared" si="24"/>
        <v>22</v>
      </c>
      <c r="F83">
        <f t="shared" si="25"/>
        <v>17</v>
      </c>
      <c r="G83" t="str">
        <f t="shared" si="26"/>
        <v>Apr</v>
      </c>
      <c r="H83" t="str">
        <f t="shared" si="27"/>
        <v>Apr-25</v>
      </c>
      <c r="I83" s="2">
        <f t="shared" si="28"/>
        <v>45777</v>
      </c>
      <c r="J83" s="2">
        <f t="shared" si="29"/>
        <v>45799</v>
      </c>
      <c r="K83">
        <f t="shared" si="30"/>
        <v>2</v>
      </c>
      <c r="L83">
        <f t="shared" ca="1" si="31"/>
        <v>374</v>
      </c>
      <c r="M83">
        <f t="shared" ca="1" si="32"/>
        <v>17</v>
      </c>
    </row>
    <row r="84" spans="1:13" x14ac:dyDescent="0.35">
      <c r="A84" t="str">
        <f>Sales!A84</f>
        <v>ORD-1083</v>
      </c>
      <c r="B84" s="2">
        <f>Sales!B84</f>
        <v>46006</v>
      </c>
      <c r="C84">
        <f t="shared" si="22"/>
        <v>2025</v>
      </c>
      <c r="D84">
        <f t="shared" si="23"/>
        <v>12</v>
      </c>
      <c r="E84">
        <f t="shared" si="24"/>
        <v>15</v>
      </c>
      <c r="F84">
        <f t="shared" si="25"/>
        <v>51</v>
      </c>
      <c r="G84" t="str">
        <f t="shared" si="26"/>
        <v>Dec</v>
      </c>
      <c r="H84" t="str">
        <f t="shared" si="27"/>
        <v>Dec-25</v>
      </c>
      <c r="I84" s="2">
        <f t="shared" si="28"/>
        <v>46022</v>
      </c>
      <c r="J84" s="2">
        <f t="shared" si="29"/>
        <v>46037</v>
      </c>
      <c r="K84">
        <f t="shared" si="30"/>
        <v>1</v>
      </c>
      <c r="L84">
        <f t="shared" ca="1" si="31"/>
        <v>205</v>
      </c>
      <c r="M84">
        <f t="shared" ca="1" si="32"/>
        <v>9</v>
      </c>
    </row>
    <row r="85" spans="1:13" x14ac:dyDescent="0.35">
      <c r="A85" t="str">
        <f>Sales!A85</f>
        <v>ORD-1084</v>
      </c>
      <c r="B85" s="2">
        <f>Sales!B85</f>
        <v>45876</v>
      </c>
      <c r="C85">
        <f t="shared" si="22"/>
        <v>2025</v>
      </c>
      <c r="D85">
        <f t="shared" si="23"/>
        <v>8</v>
      </c>
      <c r="E85">
        <f t="shared" si="24"/>
        <v>7</v>
      </c>
      <c r="F85">
        <f t="shared" si="25"/>
        <v>32</v>
      </c>
      <c r="G85" t="str">
        <f t="shared" si="26"/>
        <v>Aug</v>
      </c>
      <c r="H85" t="str">
        <f t="shared" si="27"/>
        <v>Aug-25</v>
      </c>
      <c r="I85" s="2">
        <f t="shared" si="28"/>
        <v>45900</v>
      </c>
      <c r="J85" s="2">
        <f t="shared" si="29"/>
        <v>45907</v>
      </c>
      <c r="K85">
        <f t="shared" si="30"/>
        <v>4</v>
      </c>
      <c r="L85">
        <f t="shared" ca="1" si="31"/>
        <v>297</v>
      </c>
      <c r="M85">
        <f t="shared" ca="1" si="32"/>
        <v>13</v>
      </c>
    </row>
    <row r="86" spans="1:13" x14ac:dyDescent="0.35">
      <c r="A86" t="str">
        <f>Sales!A86</f>
        <v>ORD-1085</v>
      </c>
      <c r="B86" s="2">
        <f>Sales!B86</f>
        <v>45863</v>
      </c>
      <c r="C86">
        <f t="shared" si="22"/>
        <v>2025</v>
      </c>
      <c r="D86">
        <f t="shared" si="23"/>
        <v>7</v>
      </c>
      <c r="E86">
        <f t="shared" si="24"/>
        <v>25</v>
      </c>
      <c r="F86">
        <f t="shared" si="25"/>
        <v>30</v>
      </c>
      <c r="G86" t="str">
        <f t="shared" si="26"/>
        <v>Jul</v>
      </c>
      <c r="H86" t="str">
        <f t="shared" si="27"/>
        <v>Jul-25</v>
      </c>
      <c r="I86" s="2">
        <f t="shared" si="28"/>
        <v>45869</v>
      </c>
      <c r="J86" s="2">
        <f t="shared" si="29"/>
        <v>45894</v>
      </c>
      <c r="K86">
        <f t="shared" si="30"/>
        <v>5</v>
      </c>
      <c r="L86">
        <f t="shared" ca="1" si="31"/>
        <v>306</v>
      </c>
      <c r="M86">
        <f t="shared" ca="1" si="32"/>
        <v>14</v>
      </c>
    </row>
    <row r="87" spans="1:13" x14ac:dyDescent="0.35">
      <c r="A87" t="str">
        <f>Sales!A87</f>
        <v>ORD-1086</v>
      </c>
      <c r="B87" s="2">
        <f>Sales!B87</f>
        <v>45814</v>
      </c>
      <c r="C87">
        <f t="shared" si="22"/>
        <v>2025</v>
      </c>
      <c r="D87">
        <f t="shared" si="23"/>
        <v>6</v>
      </c>
      <c r="E87">
        <f t="shared" si="24"/>
        <v>6</v>
      </c>
      <c r="F87">
        <f t="shared" si="25"/>
        <v>23</v>
      </c>
      <c r="G87" t="str">
        <f t="shared" si="26"/>
        <v>Jun</v>
      </c>
      <c r="H87" t="str">
        <f t="shared" si="27"/>
        <v>Jun-25</v>
      </c>
      <c r="I87" s="2">
        <f t="shared" si="28"/>
        <v>45838</v>
      </c>
      <c r="J87" s="2">
        <f t="shared" si="29"/>
        <v>45844</v>
      </c>
      <c r="K87">
        <f t="shared" si="30"/>
        <v>5</v>
      </c>
      <c r="L87">
        <f t="shared" ca="1" si="31"/>
        <v>341</v>
      </c>
      <c r="M87">
        <f t="shared" ca="1" si="32"/>
        <v>15</v>
      </c>
    </row>
    <row r="88" spans="1:13" x14ac:dyDescent="0.35">
      <c r="A88" t="str">
        <f>Sales!A88</f>
        <v>ORD-1087</v>
      </c>
      <c r="B88" s="2">
        <f>Sales!B88</f>
        <v>45692</v>
      </c>
      <c r="C88">
        <f t="shared" si="22"/>
        <v>2025</v>
      </c>
      <c r="D88">
        <f t="shared" si="23"/>
        <v>2</v>
      </c>
      <c r="E88">
        <f t="shared" si="24"/>
        <v>4</v>
      </c>
      <c r="F88">
        <f t="shared" si="25"/>
        <v>6</v>
      </c>
      <c r="G88" t="str">
        <f t="shared" si="26"/>
        <v>Feb</v>
      </c>
      <c r="H88" t="str">
        <f t="shared" si="27"/>
        <v>Feb-25</v>
      </c>
      <c r="I88" s="2">
        <f t="shared" si="28"/>
        <v>45716</v>
      </c>
      <c r="J88" s="2">
        <f t="shared" si="29"/>
        <v>45720</v>
      </c>
      <c r="K88">
        <f t="shared" si="30"/>
        <v>2</v>
      </c>
      <c r="L88">
        <f t="shared" ca="1" si="31"/>
        <v>429</v>
      </c>
      <c r="M88">
        <f t="shared" ca="1" si="32"/>
        <v>19</v>
      </c>
    </row>
    <row r="89" spans="1:13" x14ac:dyDescent="0.35">
      <c r="A89" t="str">
        <f>Sales!A89</f>
        <v>ORD-1088</v>
      </c>
      <c r="B89" s="2">
        <f>Sales!B89</f>
        <v>45743</v>
      </c>
      <c r="C89">
        <f t="shared" si="22"/>
        <v>2025</v>
      </c>
      <c r="D89">
        <f t="shared" si="23"/>
        <v>3</v>
      </c>
      <c r="E89">
        <f t="shared" si="24"/>
        <v>27</v>
      </c>
      <c r="F89">
        <f t="shared" si="25"/>
        <v>13</v>
      </c>
      <c r="G89" t="str">
        <f t="shared" si="26"/>
        <v>Mar</v>
      </c>
      <c r="H89" t="str">
        <f t="shared" si="27"/>
        <v>Mar-25</v>
      </c>
      <c r="I89" s="2">
        <f t="shared" si="28"/>
        <v>45747</v>
      </c>
      <c r="J89" s="2">
        <f t="shared" si="29"/>
        <v>45774</v>
      </c>
      <c r="K89">
        <f t="shared" si="30"/>
        <v>4</v>
      </c>
      <c r="L89">
        <f t="shared" ca="1" si="31"/>
        <v>392</v>
      </c>
      <c r="M89">
        <f t="shared" ca="1" si="32"/>
        <v>17</v>
      </c>
    </row>
    <row r="90" spans="1:13" x14ac:dyDescent="0.35">
      <c r="A90" t="str">
        <f>Sales!A90</f>
        <v>ORD-1089</v>
      </c>
      <c r="B90" s="2">
        <f>Sales!B90</f>
        <v>45950</v>
      </c>
      <c r="C90">
        <f t="shared" si="22"/>
        <v>2025</v>
      </c>
      <c r="D90">
        <f t="shared" si="23"/>
        <v>10</v>
      </c>
      <c r="E90">
        <f t="shared" si="24"/>
        <v>20</v>
      </c>
      <c r="F90">
        <f t="shared" si="25"/>
        <v>43</v>
      </c>
      <c r="G90" t="str">
        <f t="shared" si="26"/>
        <v>Oct</v>
      </c>
      <c r="H90" t="str">
        <f t="shared" si="27"/>
        <v>Oct-25</v>
      </c>
      <c r="I90" s="2">
        <f t="shared" si="28"/>
        <v>45961</v>
      </c>
      <c r="J90" s="2">
        <f t="shared" si="29"/>
        <v>45981</v>
      </c>
      <c r="K90">
        <f t="shared" si="30"/>
        <v>1</v>
      </c>
      <c r="L90">
        <f t="shared" ca="1" si="31"/>
        <v>245</v>
      </c>
      <c r="M90">
        <f t="shared" ca="1" si="32"/>
        <v>11</v>
      </c>
    </row>
    <row r="91" spans="1:13" x14ac:dyDescent="0.35">
      <c r="A91" t="str">
        <f>Sales!A91</f>
        <v>ORD-1090</v>
      </c>
      <c r="B91" s="2">
        <f>Sales!B91</f>
        <v>45875</v>
      </c>
      <c r="C91">
        <f t="shared" si="22"/>
        <v>2025</v>
      </c>
      <c r="D91">
        <f t="shared" si="23"/>
        <v>8</v>
      </c>
      <c r="E91">
        <f t="shared" si="24"/>
        <v>6</v>
      </c>
      <c r="F91">
        <f t="shared" si="25"/>
        <v>32</v>
      </c>
      <c r="G91" t="str">
        <f t="shared" si="26"/>
        <v>Aug</v>
      </c>
      <c r="H91" t="str">
        <f t="shared" si="27"/>
        <v>Aug-25</v>
      </c>
      <c r="I91" s="2">
        <f t="shared" si="28"/>
        <v>45900</v>
      </c>
      <c r="J91" s="2">
        <f t="shared" si="29"/>
        <v>45906</v>
      </c>
      <c r="K91">
        <f t="shared" si="30"/>
        <v>3</v>
      </c>
      <c r="L91">
        <f t="shared" ca="1" si="31"/>
        <v>298</v>
      </c>
      <c r="M91">
        <f t="shared" ca="1" si="32"/>
        <v>13</v>
      </c>
    </row>
    <row r="92" spans="1:13" x14ac:dyDescent="0.35">
      <c r="A92" t="str">
        <f>Sales!A92</f>
        <v>ORD-1091</v>
      </c>
      <c r="B92" s="2">
        <f>Sales!B92</f>
        <v>45874</v>
      </c>
      <c r="C92">
        <f t="shared" si="22"/>
        <v>2025</v>
      </c>
      <c r="D92">
        <f t="shared" si="23"/>
        <v>8</v>
      </c>
      <c r="E92">
        <f t="shared" si="24"/>
        <v>5</v>
      </c>
      <c r="F92">
        <f t="shared" si="25"/>
        <v>32</v>
      </c>
      <c r="G92" t="str">
        <f t="shared" si="26"/>
        <v>Aug</v>
      </c>
      <c r="H92" t="str">
        <f t="shared" si="27"/>
        <v>Aug-25</v>
      </c>
      <c r="I92" s="2">
        <f t="shared" si="28"/>
        <v>45900</v>
      </c>
      <c r="J92" s="2">
        <f t="shared" si="29"/>
        <v>45905</v>
      </c>
      <c r="K92">
        <f t="shared" si="30"/>
        <v>2</v>
      </c>
      <c r="L92">
        <f t="shared" ca="1" si="31"/>
        <v>299</v>
      </c>
      <c r="M92">
        <f t="shared" ca="1" si="32"/>
        <v>13</v>
      </c>
    </row>
    <row r="93" spans="1:13" x14ac:dyDescent="0.35">
      <c r="A93" t="str">
        <f>Sales!A93</f>
        <v>ORD-1092</v>
      </c>
      <c r="B93" s="2">
        <f>Sales!B93</f>
        <v>45713</v>
      </c>
      <c r="C93">
        <f t="shared" si="22"/>
        <v>2025</v>
      </c>
      <c r="D93">
        <f t="shared" si="23"/>
        <v>2</v>
      </c>
      <c r="E93">
        <f t="shared" si="24"/>
        <v>25</v>
      </c>
      <c r="F93">
        <f t="shared" si="25"/>
        <v>9</v>
      </c>
      <c r="G93" t="str">
        <f t="shared" si="26"/>
        <v>Feb</v>
      </c>
      <c r="H93" t="str">
        <f t="shared" si="27"/>
        <v>Feb-25</v>
      </c>
      <c r="I93" s="2">
        <f t="shared" si="28"/>
        <v>45716</v>
      </c>
      <c r="J93" s="2">
        <f t="shared" si="29"/>
        <v>45741</v>
      </c>
      <c r="K93">
        <f t="shared" si="30"/>
        <v>2</v>
      </c>
      <c r="L93">
        <f t="shared" ca="1" si="31"/>
        <v>414</v>
      </c>
      <c r="M93">
        <f t="shared" ca="1" si="32"/>
        <v>19</v>
      </c>
    </row>
    <row r="94" spans="1:13" x14ac:dyDescent="0.35">
      <c r="A94" t="str">
        <f>Sales!A94</f>
        <v>ORD-1093</v>
      </c>
      <c r="B94" s="2">
        <f>Sales!B94</f>
        <v>45846</v>
      </c>
      <c r="C94">
        <f t="shared" si="22"/>
        <v>2025</v>
      </c>
      <c r="D94">
        <f t="shared" si="23"/>
        <v>7</v>
      </c>
      <c r="E94">
        <f t="shared" si="24"/>
        <v>8</v>
      </c>
      <c r="F94">
        <f t="shared" si="25"/>
        <v>28</v>
      </c>
      <c r="G94" t="str">
        <f t="shared" si="26"/>
        <v>Jul</v>
      </c>
      <c r="H94" t="str">
        <f t="shared" si="27"/>
        <v>Jul-25</v>
      </c>
      <c r="I94" s="2">
        <f t="shared" si="28"/>
        <v>45869</v>
      </c>
      <c r="J94" s="2">
        <f t="shared" si="29"/>
        <v>45877</v>
      </c>
      <c r="K94">
        <f t="shared" si="30"/>
        <v>2</v>
      </c>
      <c r="L94">
        <f t="shared" ca="1" si="31"/>
        <v>319</v>
      </c>
      <c r="M94">
        <f t="shared" ca="1" si="32"/>
        <v>14</v>
      </c>
    </row>
    <row r="95" spans="1:13" x14ac:dyDescent="0.35">
      <c r="A95" t="str">
        <f>Sales!A95</f>
        <v>ORD-1094</v>
      </c>
      <c r="B95" s="2">
        <f>Sales!B95</f>
        <v>45784</v>
      </c>
      <c r="C95">
        <f t="shared" si="22"/>
        <v>2025</v>
      </c>
      <c r="D95">
        <f t="shared" si="23"/>
        <v>5</v>
      </c>
      <c r="E95">
        <f t="shared" si="24"/>
        <v>7</v>
      </c>
      <c r="F95">
        <f t="shared" si="25"/>
        <v>19</v>
      </c>
      <c r="G95" t="str">
        <f t="shared" si="26"/>
        <v>May</v>
      </c>
      <c r="H95" t="str">
        <f t="shared" si="27"/>
        <v>May-25</v>
      </c>
      <c r="I95" s="2">
        <f t="shared" si="28"/>
        <v>45808</v>
      </c>
      <c r="J95" s="2">
        <f t="shared" si="29"/>
        <v>45815</v>
      </c>
      <c r="K95">
        <f t="shared" si="30"/>
        <v>3</v>
      </c>
      <c r="L95">
        <f t="shared" ca="1" si="31"/>
        <v>363</v>
      </c>
      <c r="M95">
        <f t="shared" ca="1" si="32"/>
        <v>16</v>
      </c>
    </row>
    <row r="96" spans="1:13" x14ac:dyDescent="0.35">
      <c r="A96" t="str">
        <f>Sales!A96</f>
        <v>ORD-1095</v>
      </c>
      <c r="B96" s="2">
        <f>Sales!B96</f>
        <v>45689</v>
      </c>
      <c r="C96">
        <f t="shared" si="22"/>
        <v>2025</v>
      </c>
      <c r="D96">
        <f t="shared" si="23"/>
        <v>2</v>
      </c>
      <c r="E96">
        <f t="shared" si="24"/>
        <v>1</v>
      </c>
      <c r="F96">
        <f t="shared" si="25"/>
        <v>5</v>
      </c>
      <c r="G96" t="str">
        <f t="shared" si="26"/>
        <v>Feb</v>
      </c>
      <c r="H96" t="str">
        <f t="shared" si="27"/>
        <v>Feb-25</v>
      </c>
      <c r="I96" s="2">
        <f t="shared" si="28"/>
        <v>45716</v>
      </c>
      <c r="J96" s="2">
        <f t="shared" si="29"/>
        <v>45717</v>
      </c>
      <c r="K96">
        <f t="shared" si="30"/>
        <v>6</v>
      </c>
      <c r="L96">
        <f t="shared" ca="1" si="31"/>
        <v>430</v>
      </c>
      <c r="M96">
        <f t="shared" ca="1" si="32"/>
        <v>19</v>
      </c>
    </row>
    <row r="97" spans="1:13" x14ac:dyDescent="0.35">
      <c r="A97" t="str">
        <f>Sales!A97</f>
        <v>ORD-1096</v>
      </c>
      <c r="B97" s="2">
        <f>Sales!B97</f>
        <v>45878</v>
      </c>
      <c r="C97">
        <f t="shared" si="22"/>
        <v>2025</v>
      </c>
      <c r="D97">
        <f t="shared" si="23"/>
        <v>8</v>
      </c>
      <c r="E97">
        <f t="shared" si="24"/>
        <v>9</v>
      </c>
      <c r="F97">
        <f t="shared" si="25"/>
        <v>32</v>
      </c>
      <c r="G97" t="str">
        <f t="shared" si="26"/>
        <v>Aug</v>
      </c>
      <c r="H97" t="str">
        <f t="shared" si="27"/>
        <v>Aug-25</v>
      </c>
      <c r="I97" s="2">
        <f t="shared" si="28"/>
        <v>45900</v>
      </c>
      <c r="J97" s="2">
        <f t="shared" si="29"/>
        <v>45909</v>
      </c>
      <c r="K97">
        <f t="shared" si="30"/>
        <v>6</v>
      </c>
      <c r="L97">
        <f t="shared" ca="1" si="31"/>
        <v>295</v>
      </c>
      <c r="M97">
        <f t="shared" ca="1" si="32"/>
        <v>13</v>
      </c>
    </row>
    <row r="98" spans="1:13" x14ac:dyDescent="0.35">
      <c r="A98" t="str">
        <f>Sales!A98</f>
        <v>ORD-1097</v>
      </c>
      <c r="B98" s="2">
        <f>Sales!B98</f>
        <v>45743</v>
      </c>
      <c r="C98">
        <f t="shared" ref="C98:C129" si="33">YEAR(B98)</f>
        <v>2025</v>
      </c>
      <c r="D98">
        <f t="shared" ref="D98:D121" si="34">MONTH(B98)</f>
        <v>3</v>
      </c>
      <c r="E98">
        <f t="shared" ref="E98:E121" si="35">DAY(B98)</f>
        <v>27</v>
      </c>
      <c r="F98">
        <f t="shared" ref="F98:F121" si="36">WEEKNUM(B98)</f>
        <v>13</v>
      </c>
      <c r="G98" t="str">
        <f t="shared" ref="G98:G121" si="37">TEXT(B98,"mmm")</f>
        <v>Mar</v>
      </c>
      <c r="H98" t="str">
        <f t="shared" ref="H98:H121" si="38">TEXT(B98,"mmm-yy")</f>
        <v>Mar-25</v>
      </c>
      <c r="I98" s="2">
        <f t="shared" ref="I98:I121" si="39">EOMONTH(B98,0)</f>
        <v>45747</v>
      </c>
      <c r="J98" s="2">
        <f t="shared" ref="J98:J121" si="40">EDATE(B98,1)</f>
        <v>45774</v>
      </c>
      <c r="K98">
        <f t="shared" ref="K98:K121" si="41">WEEKDAY(B98,2)</f>
        <v>4</v>
      </c>
      <c r="L98">
        <f t="shared" ref="L98:L121" ca="1" si="42">NETWORKDAYS(B98,TODAY())</f>
        <v>392</v>
      </c>
      <c r="M98">
        <f t="shared" ref="M98:M121" ca="1" si="43">IFERROR(DATEDIF(B98,TODAY(),"m"),0)</f>
        <v>17</v>
      </c>
    </row>
    <row r="99" spans="1:13" x14ac:dyDescent="0.35">
      <c r="A99" t="str">
        <f>Sales!A99</f>
        <v>ORD-1098</v>
      </c>
      <c r="B99" s="2">
        <f>Sales!B99</f>
        <v>45809</v>
      </c>
      <c r="C99">
        <f t="shared" si="33"/>
        <v>2025</v>
      </c>
      <c r="D99">
        <f t="shared" si="34"/>
        <v>6</v>
      </c>
      <c r="E99">
        <f t="shared" si="35"/>
        <v>1</v>
      </c>
      <c r="F99">
        <f t="shared" si="36"/>
        <v>23</v>
      </c>
      <c r="G99" t="str">
        <f t="shared" si="37"/>
        <v>Jun</v>
      </c>
      <c r="H99" t="str">
        <f t="shared" si="38"/>
        <v>Jun-25</v>
      </c>
      <c r="I99" s="2">
        <f t="shared" si="39"/>
        <v>45838</v>
      </c>
      <c r="J99" s="2">
        <f t="shared" si="40"/>
        <v>45839</v>
      </c>
      <c r="K99">
        <f t="shared" si="41"/>
        <v>7</v>
      </c>
      <c r="L99">
        <f t="shared" ca="1" si="42"/>
        <v>345</v>
      </c>
      <c r="M99">
        <f t="shared" ca="1" si="43"/>
        <v>15</v>
      </c>
    </row>
    <row r="100" spans="1:13" x14ac:dyDescent="0.35">
      <c r="A100" t="str">
        <f>Sales!A100</f>
        <v>ORD-1099</v>
      </c>
      <c r="B100" s="2">
        <f>Sales!B100</f>
        <v>45668</v>
      </c>
      <c r="C100">
        <f t="shared" si="33"/>
        <v>2025</v>
      </c>
      <c r="D100">
        <f t="shared" si="34"/>
        <v>1</v>
      </c>
      <c r="E100">
        <f t="shared" si="35"/>
        <v>11</v>
      </c>
      <c r="F100">
        <f t="shared" si="36"/>
        <v>2</v>
      </c>
      <c r="G100" t="str">
        <f t="shared" si="37"/>
        <v>Jan</v>
      </c>
      <c r="H100" t="str">
        <f t="shared" si="38"/>
        <v>Jan-25</v>
      </c>
      <c r="I100" s="2">
        <f t="shared" si="39"/>
        <v>45688</v>
      </c>
      <c r="J100" s="2">
        <f t="shared" si="40"/>
        <v>45699</v>
      </c>
      <c r="K100">
        <f t="shared" si="41"/>
        <v>6</v>
      </c>
      <c r="L100">
        <f t="shared" ca="1" si="42"/>
        <v>445</v>
      </c>
      <c r="M100">
        <f t="shared" ca="1" si="43"/>
        <v>20</v>
      </c>
    </row>
    <row r="101" spans="1:13" x14ac:dyDescent="0.35">
      <c r="A101" t="str">
        <f>Sales!A101</f>
        <v>ORD-1100</v>
      </c>
      <c r="B101" s="2">
        <f>Sales!B101</f>
        <v>45697</v>
      </c>
      <c r="C101">
        <f t="shared" si="33"/>
        <v>2025</v>
      </c>
      <c r="D101">
        <f t="shared" si="34"/>
        <v>2</v>
      </c>
      <c r="E101">
        <f t="shared" si="35"/>
        <v>9</v>
      </c>
      <c r="F101">
        <f t="shared" si="36"/>
        <v>7</v>
      </c>
      <c r="G101" t="str">
        <f t="shared" si="37"/>
        <v>Feb</v>
      </c>
      <c r="H101" t="str">
        <f t="shared" si="38"/>
        <v>Feb-25</v>
      </c>
      <c r="I101" s="2">
        <f t="shared" si="39"/>
        <v>45716</v>
      </c>
      <c r="J101" s="2">
        <f t="shared" si="40"/>
        <v>45725</v>
      </c>
      <c r="K101">
        <f t="shared" si="41"/>
        <v>7</v>
      </c>
      <c r="L101">
        <f t="shared" ca="1" si="42"/>
        <v>425</v>
      </c>
      <c r="M101">
        <f t="shared" ca="1" si="43"/>
        <v>19</v>
      </c>
    </row>
    <row r="102" spans="1:13" x14ac:dyDescent="0.35">
      <c r="A102" t="str">
        <f>Sales!A102</f>
        <v>ORD-1101</v>
      </c>
      <c r="B102" s="2">
        <f>Sales!B102</f>
        <v>45992</v>
      </c>
      <c r="C102">
        <f t="shared" si="33"/>
        <v>2025</v>
      </c>
      <c r="D102">
        <f t="shared" si="34"/>
        <v>12</v>
      </c>
      <c r="E102">
        <f t="shared" si="35"/>
        <v>1</v>
      </c>
      <c r="F102">
        <f t="shared" si="36"/>
        <v>49</v>
      </c>
      <c r="G102" t="str">
        <f t="shared" si="37"/>
        <v>Dec</v>
      </c>
      <c r="H102" t="str">
        <f t="shared" si="38"/>
        <v>Dec-25</v>
      </c>
      <c r="I102" s="2">
        <f t="shared" si="39"/>
        <v>46022</v>
      </c>
      <c r="J102" s="2">
        <f t="shared" si="40"/>
        <v>46023</v>
      </c>
      <c r="K102">
        <f t="shared" si="41"/>
        <v>1</v>
      </c>
      <c r="L102">
        <f t="shared" ca="1" si="42"/>
        <v>215</v>
      </c>
      <c r="M102">
        <f t="shared" ca="1" si="43"/>
        <v>9</v>
      </c>
    </row>
    <row r="103" spans="1:13" x14ac:dyDescent="0.35">
      <c r="A103" t="str">
        <f>Sales!A103</f>
        <v>ORD-1102</v>
      </c>
      <c r="B103" s="2">
        <f>Sales!B103</f>
        <v>45897</v>
      </c>
      <c r="C103">
        <f t="shared" si="33"/>
        <v>2025</v>
      </c>
      <c r="D103">
        <f t="shared" si="34"/>
        <v>8</v>
      </c>
      <c r="E103">
        <f t="shared" si="35"/>
        <v>28</v>
      </c>
      <c r="F103">
        <f t="shared" si="36"/>
        <v>35</v>
      </c>
      <c r="G103" t="str">
        <f t="shared" si="37"/>
        <v>Aug</v>
      </c>
      <c r="H103" t="str">
        <f t="shared" si="38"/>
        <v>Aug-25</v>
      </c>
      <c r="I103" s="2">
        <f t="shared" si="39"/>
        <v>45900</v>
      </c>
      <c r="J103" s="2">
        <f t="shared" si="40"/>
        <v>45928</v>
      </c>
      <c r="K103">
        <f t="shared" si="41"/>
        <v>4</v>
      </c>
      <c r="L103">
        <f t="shared" ca="1" si="42"/>
        <v>282</v>
      </c>
      <c r="M103">
        <f t="shared" ca="1" si="43"/>
        <v>12</v>
      </c>
    </row>
    <row r="104" spans="1:13" x14ac:dyDescent="0.35">
      <c r="A104" t="str">
        <f>Sales!A104</f>
        <v>ORD-1103</v>
      </c>
      <c r="B104" s="2">
        <f>Sales!B104</f>
        <v>45984</v>
      </c>
      <c r="C104">
        <f t="shared" si="33"/>
        <v>2025</v>
      </c>
      <c r="D104">
        <f t="shared" si="34"/>
        <v>11</v>
      </c>
      <c r="E104">
        <f t="shared" si="35"/>
        <v>23</v>
      </c>
      <c r="F104">
        <f t="shared" si="36"/>
        <v>48</v>
      </c>
      <c r="G104" t="str">
        <f t="shared" si="37"/>
        <v>Nov</v>
      </c>
      <c r="H104" t="str">
        <f t="shared" si="38"/>
        <v>Nov-25</v>
      </c>
      <c r="I104" s="2">
        <f t="shared" si="39"/>
        <v>45991</v>
      </c>
      <c r="J104" s="2">
        <f t="shared" si="40"/>
        <v>46014</v>
      </c>
      <c r="K104">
        <f t="shared" si="41"/>
        <v>7</v>
      </c>
      <c r="L104">
        <f t="shared" ca="1" si="42"/>
        <v>220</v>
      </c>
      <c r="M104">
        <f t="shared" ca="1" si="43"/>
        <v>10</v>
      </c>
    </row>
    <row r="105" spans="1:13" x14ac:dyDescent="0.35">
      <c r="A105" t="str">
        <f>Sales!A105</f>
        <v>ORD-1104</v>
      </c>
      <c r="B105" s="2">
        <f>Sales!B105</f>
        <v>45677</v>
      </c>
      <c r="C105">
        <f t="shared" si="33"/>
        <v>2025</v>
      </c>
      <c r="D105">
        <f t="shared" si="34"/>
        <v>1</v>
      </c>
      <c r="E105">
        <f t="shared" si="35"/>
        <v>20</v>
      </c>
      <c r="F105">
        <f t="shared" si="36"/>
        <v>4</v>
      </c>
      <c r="G105" t="str">
        <f t="shared" si="37"/>
        <v>Jan</v>
      </c>
      <c r="H105" t="str">
        <f t="shared" si="38"/>
        <v>Jan-25</v>
      </c>
      <c r="I105" s="2">
        <f t="shared" si="39"/>
        <v>45688</v>
      </c>
      <c r="J105" s="2">
        <f t="shared" si="40"/>
        <v>45708</v>
      </c>
      <c r="K105">
        <f t="shared" si="41"/>
        <v>1</v>
      </c>
      <c r="L105">
        <f t="shared" ca="1" si="42"/>
        <v>440</v>
      </c>
      <c r="M105">
        <f t="shared" ca="1" si="43"/>
        <v>20</v>
      </c>
    </row>
    <row r="106" spans="1:13" x14ac:dyDescent="0.35">
      <c r="A106" t="str">
        <f>Sales!A106</f>
        <v>ORD-1105</v>
      </c>
      <c r="B106" s="2">
        <f>Sales!B106</f>
        <v>45998</v>
      </c>
      <c r="C106">
        <f t="shared" si="33"/>
        <v>2025</v>
      </c>
      <c r="D106">
        <f t="shared" si="34"/>
        <v>12</v>
      </c>
      <c r="E106">
        <f t="shared" si="35"/>
        <v>7</v>
      </c>
      <c r="F106">
        <f t="shared" si="36"/>
        <v>50</v>
      </c>
      <c r="G106" t="str">
        <f t="shared" si="37"/>
        <v>Dec</v>
      </c>
      <c r="H106" t="str">
        <f t="shared" si="38"/>
        <v>Dec-25</v>
      </c>
      <c r="I106" s="2">
        <f t="shared" si="39"/>
        <v>46022</v>
      </c>
      <c r="J106" s="2">
        <f t="shared" si="40"/>
        <v>46029</v>
      </c>
      <c r="K106">
        <f t="shared" si="41"/>
        <v>7</v>
      </c>
      <c r="L106">
        <f t="shared" ca="1" si="42"/>
        <v>210</v>
      </c>
      <c r="M106">
        <f t="shared" ca="1" si="43"/>
        <v>9</v>
      </c>
    </row>
    <row r="107" spans="1:13" x14ac:dyDescent="0.35">
      <c r="A107" t="str">
        <f>Sales!A107</f>
        <v>ORD-1106</v>
      </c>
      <c r="B107" s="2">
        <f>Sales!B107</f>
        <v>45825</v>
      </c>
      <c r="C107">
        <f t="shared" si="33"/>
        <v>2025</v>
      </c>
      <c r="D107">
        <f t="shared" si="34"/>
        <v>6</v>
      </c>
      <c r="E107">
        <f t="shared" si="35"/>
        <v>17</v>
      </c>
      <c r="F107">
        <f t="shared" si="36"/>
        <v>25</v>
      </c>
      <c r="G107" t="str">
        <f t="shared" si="37"/>
        <v>Jun</v>
      </c>
      <c r="H107" t="str">
        <f t="shared" si="38"/>
        <v>Jun-25</v>
      </c>
      <c r="I107" s="2">
        <f t="shared" si="39"/>
        <v>45838</v>
      </c>
      <c r="J107" s="2">
        <f t="shared" si="40"/>
        <v>45855</v>
      </c>
      <c r="K107">
        <f t="shared" si="41"/>
        <v>2</v>
      </c>
      <c r="L107">
        <f t="shared" ca="1" si="42"/>
        <v>334</v>
      </c>
      <c r="M107">
        <f t="shared" ca="1" si="43"/>
        <v>15</v>
      </c>
    </row>
    <row r="108" spans="1:13" x14ac:dyDescent="0.35">
      <c r="A108" t="str">
        <f>Sales!A108</f>
        <v>ORD-1107</v>
      </c>
      <c r="B108" s="2">
        <f>Sales!B108</f>
        <v>45892</v>
      </c>
      <c r="C108">
        <f t="shared" si="33"/>
        <v>2025</v>
      </c>
      <c r="D108">
        <f t="shared" si="34"/>
        <v>8</v>
      </c>
      <c r="E108">
        <f t="shared" si="35"/>
        <v>23</v>
      </c>
      <c r="F108">
        <f t="shared" si="36"/>
        <v>34</v>
      </c>
      <c r="G108" t="str">
        <f t="shared" si="37"/>
        <v>Aug</v>
      </c>
      <c r="H108" t="str">
        <f t="shared" si="38"/>
        <v>Aug-25</v>
      </c>
      <c r="I108" s="2">
        <f t="shared" si="39"/>
        <v>45900</v>
      </c>
      <c r="J108" s="2">
        <f t="shared" si="40"/>
        <v>45923</v>
      </c>
      <c r="K108">
        <f t="shared" si="41"/>
        <v>6</v>
      </c>
      <c r="L108">
        <f t="shared" ca="1" si="42"/>
        <v>285</v>
      </c>
      <c r="M108">
        <f t="shared" ca="1" si="43"/>
        <v>13</v>
      </c>
    </row>
    <row r="109" spans="1:13" x14ac:dyDescent="0.35">
      <c r="A109" t="str">
        <f>Sales!A109</f>
        <v>ORD-1108</v>
      </c>
      <c r="B109" s="2">
        <f>Sales!B109</f>
        <v>45993</v>
      </c>
      <c r="C109">
        <f t="shared" si="33"/>
        <v>2025</v>
      </c>
      <c r="D109">
        <f t="shared" si="34"/>
        <v>12</v>
      </c>
      <c r="E109">
        <f t="shared" si="35"/>
        <v>2</v>
      </c>
      <c r="F109">
        <f t="shared" si="36"/>
        <v>49</v>
      </c>
      <c r="G109" t="str">
        <f t="shared" si="37"/>
        <v>Dec</v>
      </c>
      <c r="H109" t="str">
        <f t="shared" si="38"/>
        <v>Dec-25</v>
      </c>
      <c r="I109" s="2">
        <f t="shared" si="39"/>
        <v>46022</v>
      </c>
      <c r="J109" s="2">
        <f t="shared" si="40"/>
        <v>46024</v>
      </c>
      <c r="K109">
        <f t="shared" si="41"/>
        <v>2</v>
      </c>
      <c r="L109">
        <f t="shared" ca="1" si="42"/>
        <v>214</v>
      </c>
      <c r="M109">
        <f t="shared" ca="1" si="43"/>
        <v>9</v>
      </c>
    </row>
    <row r="110" spans="1:13" x14ac:dyDescent="0.35">
      <c r="A110" t="str">
        <f>Sales!A110</f>
        <v>ORD-1109</v>
      </c>
      <c r="B110" s="2">
        <f>Sales!B110</f>
        <v>45658</v>
      </c>
      <c r="C110">
        <f t="shared" si="33"/>
        <v>2025</v>
      </c>
      <c r="D110">
        <f t="shared" si="34"/>
        <v>1</v>
      </c>
      <c r="E110">
        <f t="shared" si="35"/>
        <v>1</v>
      </c>
      <c r="F110">
        <f t="shared" si="36"/>
        <v>1</v>
      </c>
      <c r="G110" t="str">
        <f t="shared" si="37"/>
        <v>Jan</v>
      </c>
      <c r="H110" t="str">
        <f t="shared" si="38"/>
        <v>Jan-25</v>
      </c>
      <c r="I110" s="2">
        <f t="shared" si="39"/>
        <v>45688</v>
      </c>
      <c r="J110" s="2">
        <f t="shared" si="40"/>
        <v>45689</v>
      </c>
      <c r="K110">
        <f t="shared" si="41"/>
        <v>3</v>
      </c>
      <c r="L110">
        <f t="shared" ca="1" si="42"/>
        <v>453</v>
      </c>
      <c r="M110">
        <f t="shared" ca="1" si="43"/>
        <v>20</v>
      </c>
    </row>
    <row r="111" spans="1:13" x14ac:dyDescent="0.35">
      <c r="A111" t="str">
        <f>Sales!A111</f>
        <v>ORD-1110</v>
      </c>
      <c r="B111" s="2">
        <f>Sales!B111</f>
        <v>45848</v>
      </c>
      <c r="C111">
        <f t="shared" si="33"/>
        <v>2025</v>
      </c>
      <c r="D111">
        <f t="shared" si="34"/>
        <v>7</v>
      </c>
      <c r="E111">
        <f t="shared" si="35"/>
        <v>10</v>
      </c>
      <c r="F111">
        <f t="shared" si="36"/>
        <v>28</v>
      </c>
      <c r="G111" t="str">
        <f t="shared" si="37"/>
        <v>Jul</v>
      </c>
      <c r="H111" t="str">
        <f t="shared" si="38"/>
        <v>Jul-25</v>
      </c>
      <c r="I111" s="2">
        <f t="shared" si="39"/>
        <v>45869</v>
      </c>
      <c r="J111" s="2">
        <f t="shared" si="40"/>
        <v>45879</v>
      </c>
      <c r="K111">
        <f t="shared" si="41"/>
        <v>4</v>
      </c>
      <c r="L111">
        <f t="shared" ca="1" si="42"/>
        <v>317</v>
      </c>
      <c r="M111">
        <f t="shared" ca="1" si="43"/>
        <v>14</v>
      </c>
    </row>
    <row r="112" spans="1:13" x14ac:dyDescent="0.35">
      <c r="A112" t="str">
        <f>Sales!A112</f>
        <v>ORD-1111</v>
      </c>
      <c r="B112" s="2">
        <f>Sales!B112</f>
        <v>45843</v>
      </c>
      <c r="C112">
        <f t="shared" si="33"/>
        <v>2025</v>
      </c>
      <c r="D112">
        <f t="shared" si="34"/>
        <v>7</v>
      </c>
      <c r="E112">
        <f t="shared" si="35"/>
        <v>5</v>
      </c>
      <c r="F112">
        <f t="shared" si="36"/>
        <v>27</v>
      </c>
      <c r="G112" t="str">
        <f t="shared" si="37"/>
        <v>Jul</v>
      </c>
      <c r="H112" t="str">
        <f t="shared" si="38"/>
        <v>Jul-25</v>
      </c>
      <c r="I112" s="2">
        <f t="shared" si="39"/>
        <v>45869</v>
      </c>
      <c r="J112" s="2">
        <f t="shared" si="40"/>
        <v>45874</v>
      </c>
      <c r="K112">
        <f t="shared" si="41"/>
        <v>6</v>
      </c>
      <c r="L112">
        <f t="shared" ca="1" si="42"/>
        <v>320</v>
      </c>
      <c r="M112">
        <f t="shared" ca="1" si="43"/>
        <v>14</v>
      </c>
    </row>
    <row r="113" spans="1:13" x14ac:dyDescent="0.35">
      <c r="A113" t="str">
        <f>Sales!A113</f>
        <v>ORD-1112</v>
      </c>
      <c r="B113" s="2">
        <f>Sales!B113</f>
        <v>45676</v>
      </c>
      <c r="C113">
        <f t="shared" si="33"/>
        <v>2025</v>
      </c>
      <c r="D113">
        <f t="shared" si="34"/>
        <v>1</v>
      </c>
      <c r="E113">
        <f t="shared" si="35"/>
        <v>19</v>
      </c>
      <c r="F113">
        <f t="shared" si="36"/>
        <v>4</v>
      </c>
      <c r="G113" t="str">
        <f t="shared" si="37"/>
        <v>Jan</v>
      </c>
      <c r="H113" t="str">
        <f t="shared" si="38"/>
        <v>Jan-25</v>
      </c>
      <c r="I113" s="2">
        <f t="shared" si="39"/>
        <v>45688</v>
      </c>
      <c r="J113" s="2">
        <f t="shared" si="40"/>
        <v>45707</v>
      </c>
      <c r="K113">
        <f t="shared" si="41"/>
        <v>7</v>
      </c>
      <c r="L113">
        <f t="shared" ca="1" si="42"/>
        <v>440</v>
      </c>
      <c r="M113">
        <f t="shared" ca="1" si="43"/>
        <v>20</v>
      </c>
    </row>
    <row r="114" spans="1:13" x14ac:dyDescent="0.35">
      <c r="A114" t="str">
        <f>Sales!A114</f>
        <v>ORD-1113</v>
      </c>
      <c r="B114" s="2">
        <f>Sales!B114</f>
        <v>45710</v>
      </c>
      <c r="C114">
        <f t="shared" si="33"/>
        <v>2025</v>
      </c>
      <c r="D114">
        <f t="shared" si="34"/>
        <v>2</v>
      </c>
      <c r="E114">
        <f t="shared" si="35"/>
        <v>22</v>
      </c>
      <c r="F114">
        <f t="shared" si="36"/>
        <v>8</v>
      </c>
      <c r="G114" t="str">
        <f t="shared" si="37"/>
        <v>Feb</v>
      </c>
      <c r="H114" t="str">
        <f t="shared" si="38"/>
        <v>Feb-25</v>
      </c>
      <c r="I114" s="2">
        <f t="shared" si="39"/>
        <v>45716</v>
      </c>
      <c r="J114" s="2">
        <f t="shared" si="40"/>
        <v>45738</v>
      </c>
      <c r="K114">
        <f t="shared" si="41"/>
        <v>6</v>
      </c>
      <c r="L114">
        <f t="shared" ca="1" si="42"/>
        <v>415</v>
      </c>
      <c r="M114">
        <f t="shared" ca="1" si="43"/>
        <v>19</v>
      </c>
    </row>
    <row r="115" spans="1:13" x14ac:dyDescent="0.35">
      <c r="A115" t="str">
        <f>Sales!A115</f>
        <v>ORD-1114</v>
      </c>
      <c r="B115" s="2">
        <f>Sales!B115</f>
        <v>45934</v>
      </c>
      <c r="C115">
        <f t="shared" si="33"/>
        <v>2025</v>
      </c>
      <c r="D115">
        <f t="shared" si="34"/>
        <v>10</v>
      </c>
      <c r="E115">
        <f t="shared" si="35"/>
        <v>4</v>
      </c>
      <c r="F115">
        <f t="shared" si="36"/>
        <v>40</v>
      </c>
      <c r="G115" t="str">
        <f t="shared" si="37"/>
        <v>Oct</v>
      </c>
      <c r="H115" t="str">
        <f t="shared" si="38"/>
        <v>Oct-25</v>
      </c>
      <c r="I115" s="2">
        <f t="shared" si="39"/>
        <v>45961</v>
      </c>
      <c r="J115" s="2">
        <f t="shared" si="40"/>
        <v>45965</v>
      </c>
      <c r="K115">
        <f t="shared" si="41"/>
        <v>6</v>
      </c>
      <c r="L115">
        <f t="shared" ca="1" si="42"/>
        <v>255</v>
      </c>
      <c r="M115">
        <f t="shared" ca="1" si="43"/>
        <v>11</v>
      </c>
    </row>
    <row r="116" spans="1:13" x14ac:dyDescent="0.35">
      <c r="A116" t="str">
        <f>Sales!A116</f>
        <v>ORD-1115</v>
      </c>
      <c r="B116" s="2">
        <f>Sales!B116</f>
        <v>45949</v>
      </c>
      <c r="C116">
        <f t="shared" si="33"/>
        <v>2025</v>
      </c>
      <c r="D116">
        <f t="shared" si="34"/>
        <v>10</v>
      </c>
      <c r="E116">
        <f t="shared" si="35"/>
        <v>19</v>
      </c>
      <c r="F116">
        <f t="shared" si="36"/>
        <v>43</v>
      </c>
      <c r="G116" t="str">
        <f t="shared" si="37"/>
        <v>Oct</v>
      </c>
      <c r="H116" t="str">
        <f t="shared" si="38"/>
        <v>Oct-25</v>
      </c>
      <c r="I116" s="2">
        <f t="shared" si="39"/>
        <v>45961</v>
      </c>
      <c r="J116" s="2">
        <f t="shared" si="40"/>
        <v>45980</v>
      </c>
      <c r="K116">
        <f t="shared" si="41"/>
        <v>7</v>
      </c>
      <c r="L116">
        <f t="shared" ca="1" si="42"/>
        <v>245</v>
      </c>
      <c r="M116">
        <f t="shared" ca="1" si="43"/>
        <v>11</v>
      </c>
    </row>
    <row r="117" spans="1:13" x14ac:dyDescent="0.35">
      <c r="A117" t="str">
        <f>Sales!A117</f>
        <v>ORD-1116</v>
      </c>
      <c r="B117" s="2">
        <f>Sales!B117</f>
        <v>45991</v>
      </c>
      <c r="C117">
        <f t="shared" si="33"/>
        <v>2025</v>
      </c>
      <c r="D117">
        <f t="shared" si="34"/>
        <v>11</v>
      </c>
      <c r="E117">
        <f t="shared" si="35"/>
        <v>30</v>
      </c>
      <c r="F117">
        <f t="shared" si="36"/>
        <v>49</v>
      </c>
      <c r="G117" t="str">
        <f t="shared" si="37"/>
        <v>Nov</v>
      </c>
      <c r="H117" t="str">
        <f t="shared" si="38"/>
        <v>Nov-25</v>
      </c>
      <c r="I117" s="2">
        <f t="shared" si="39"/>
        <v>45991</v>
      </c>
      <c r="J117" s="2">
        <f t="shared" si="40"/>
        <v>46021</v>
      </c>
      <c r="K117">
        <f t="shared" si="41"/>
        <v>7</v>
      </c>
      <c r="L117">
        <f t="shared" ca="1" si="42"/>
        <v>215</v>
      </c>
      <c r="M117">
        <f t="shared" ca="1" si="43"/>
        <v>9</v>
      </c>
    </row>
    <row r="118" spans="1:13" x14ac:dyDescent="0.35">
      <c r="A118" t="str">
        <f>Sales!A118</f>
        <v>ORD-1117</v>
      </c>
      <c r="B118" s="2">
        <f>Sales!B118</f>
        <v>45961</v>
      </c>
      <c r="C118">
        <f t="shared" si="33"/>
        <v>2025</v>
      </c>
      <c r="D118">
        <f t="shared" si="34"/>
        <v>10</v>
      </c>
      <c r="E118">
        <f t="shared" si="35"/>
        <v>31</v>
      </c>
      <c r="F118">
        <f t="shared" si="36"/>
        <v>44</v>
      </c>
      <c r="G118" t="str">
        <f t="shared" si="37"/>
        <v>Oct</v>
      </c>
      <c r="H118" t="str">
        <f t="shared" si="38"/>
        <v>Oct-25</v>
      </c>
      <c r="I118" s="2">
        <f t="shared" si="39"/>
        <v>45961</v>
      </c>
      <c r="J118" s="2">
        <f t="shared" si="40"/>
        <v>45991</v>
      </c>
      <c r="K118">
        <f t="shared" si="41"/>
        <v>5</v>
      </c>
      <c r="L118">
        <f t="shared" ca="1" si="42"/>
        <v>236</v>
      </c>
      <c r="M118">
        <f t="shared" ca="1" si="43"/>
        <v>10</v>
      </c>
    </row>
    <row r="119" spans="1:13" x14ac:dyDescent="0.35">
      <c r="A119" t="str">
        <f>Sales!A119</f>
        <v>ORD-1118</v>
      </c>
      <c r="B119" s="2">
        <f>Sales!B119</f>
        <v>45957</v>
      </c>
      <c r="C119">
        <f t="shared" si="33"/>
        <v>2025</v>
      </c>
      <c r="D119">
        <f t="shared" si="34"/>
        <v>10</v>
      </c>
      <c r="E119">
        <f t="shared" si="35"/>
        <v>27</v>
      </c>
      <c r="F119">
        <f t="shared" si="36"/>
        <v>44</v>
      </c>
      <c r="G119" t="str">
        <f t="shared" si="37"/>
        <v>Oct</v>
      </c>
      <c r="H119" t="str">
        <f t="shared" si="38"/>
        <v>Oct-25</v>
      </c>
      <c r="I119" s="2">
        <f t="shared" si="39"/>
        <v>45961</v>
      </c>
      <c r="J119" s="2">
        <f t="shared" si="40"/>
        <v>45988</v>
      </c>
      <c r="K119">
        <f t="shared" si="41"/>
        <v>1</v>
      </c>
      <c r="L119">
        <f t="shared" ca="1" si="42"/>
        <v>240</v>
      </c>
      <c r="M119">
        <f t="shared" ca="1" si="43"/>
        <v>10</v>
      </c>
    </row>
    <row r="120" spans="1:13" x14ac:dyDescent="0.35">
      <c r="A120" t="str">
        <f>Sales!A120</f>
        <v>ORD-1119</v>
      </c>
      <c r="B120" s="2">
        <f>Sales!B120</f>
        <v>45951</v>
      </c>
      <c r="C120">
        <f t="shared" si="33"/>
        <v>2025</v>
      </c>
      <c r="D120">
        <f t="shared" si="34"/>
        <v>10</v>
      </c>
      <c r="E120">
        <f t="shared" si="35"/>
        <v>21</v>
      </c>
      <c r="F120">
        <f t="shared" si="36"/>
        <v>43</v>
      </c>
      <c r="G120" t="str">
        <f t="shared" si="37"/>
        <v>Oct</v>
      </c>
      <c r="H120" t="str">
        <f t="shared" si="38"/>
        <v>Oct-25</v>
      </c>
      <c r="I120" s="2">
        <f t="shared" si="39"/>
        <v>45961</v>
      </c>
      <c r="J120" s="2">
        <f t="shared" si="40"/>
        <v>45982</v>
      </c>
      <c r="K120">
        <f t="shared" si="41"/>
        <v>2</v>
      </c>
      <c r="L120">
        <f t="shared" ca="1" si="42"/>
        <v>244</v>
      </c>
      <c r="M120">
        <f t="shared" ca="1" si="43"/>
        <v>11</v>
      </c>
    </row>
    <row r="121" spans="1:13" x14ac:dyDescent="0.35">
      <c r="A121" t="str">
        <f>Sales!A121</f>
        <v>ORD-1120</v>
      </c>
      <c r="B121" s="2">
        <f>Sales!B121</f>
        <v>45878</v>
      </c>
      <c r="C121">
        <f t="shared" si="33"/>
        <v>2025</v>
      </c>
      <c r="D121">
        <f t="shared" si="34"/>
        <v>8</v>
      </c>
      <c r="E121">
        <f t="shared" si="35"/>
        <v>9</v>
      </c>
      <c r="F121">
        <f t="shared" si="36"/>
        <v>32</v>
      </c>
      <c r="G121" t="str">
        <f t="shared" si="37"/>
        <v>Aug</v>
      </c>
      <c r="H121" t="str">
        <f t="shared" si="38"/>
        <v>Aug-25</v>
      </c>
      <c r="I121" s="2">
        <f t="shared" si="39"/>
        <v>45900</v>
      </c>
      <c r="J121" s="2">
        <f t="shared" si="40"/>
        <v>45909</v>
      </c>
      <c r="K121">
        <f t="shared" si="41"/>
        <v>6</v>
      </c>
      <c r="L121">
        <f t="shared" ca="1" si="42"/>
        <v>295</v>
      </c>
      <c r="M121">
        <f t="shared" ca="1" si="43"/>
        <v>13</v>
      </c>
    </row>
  </sheetData>
  <autoFilter ref="A1:M121" xr:uid="{00000000-0009-0000-0000-00000A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8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2" width="58" customWidth="1"/>
    <col min="3" max="3" width="62" customWidth="1"/>
  </cols>
  <sheetData>
    <row r="1" spans="1:3" ht="23.5" x14ac:dyDescent="0.55000000000000004">
      <c r="A1" s="5" t="s">
        <v>307</v>
      </c>
    </row>
    <row r="2" spans="1:3" x14ac:dyDescent="0.35">
      <c r="A2" s="6" t="s">
        <v>175</v>
      </c>
      <c r="B2" s="6" t="s">
        <v>221</v>
      </c>
      <c r="C2" s="6" t="s">
        <v>222</v>
      </c>
    </row>
    <row r="3" spans="1:3" x14ac:dyDescent="0.35">
      <c r="A3" t="s">
        <v>308</v>
      </c>
      <c r="B3" t="s">
        <v>309</v>
      </c>
      <c r="C3" t="str">
        <f>UPPER(Sales!D2)</f>
        <v>PRIYA NAIR</v>
      </c>
    </row>
    <row r="4" spans="1:3" x14ac:dyDescent="0.35">
      <c r="A4" t="s">
        <v>310</v>
      </c>
      <c r="B4" t="s">
        <v>311</v>
      </c>
      <c r="C4" t="str">
        <f>LOWER(Sales!D2)</f>
        <v>priya nair</v>
      </c>
    </row>
    <row r="5" spans="1:3" x14ac:dyDescent="0.35">
      <c r="A5" t="s">
        <v>312</v>
      </c>
      <c r="B5" t="s">
        <v>313</v>
      </c>
      <c r="C5" t="str">
        <f>PROPER(Sales!D2)</f>
        <v>Priya Nair</v>
      </c>
    </row>
    <row r="6" spans="1:3" x14ac:dyDescent="0.35">
      <c r="A6" t="s">
        <v>314</v>
      </c>
      <c r="B6" t="s">
        <v>315</v>
      </c>
      <c r="C6" t="str">
        <f>LEFT(Sales!A2,3)</f>
        <v>ORD</v>
      </c>
    </row>
    <row r="7" spans="1:3" x14ac:dyDescent="0.35">
      <c r="A7" t="s">
        <v>316</v>
      </c>
      <c r="B7" t="s">
        <v>317</v>
      </c>
      <c r="C7" t="str">
        <f>RIGHT(Sales!A2,4)</f>
        <v>1001</v>
      </c>
    </row>
    <row r="8" spans="1:3" x14ac:dyDescent="0.35">
      <c r="A8" t="s">
        <v>318</v>
      </c>
      <c r="B8" t="s">
        <v>319</v>
      </c>
      <c r="C8" t="str">
        <f>MID(Sales!A2,5,4)</f>
        <v>1001</v>
      </c>
    </row>
    <row r="9" spans="1:3" x14ac:dyDescent="0.35">
      <c r="A9" t="s">
        <v>320</v>
      </c>
      <c r="B9" t="s">
        <v>321</v>
      </c>
      <c r="C9">
        <f>LEN(Sales!G2)</f>
        <v>14</v>
      </c>
    </row>
    <row r="10" spans="1:3" x14ac:dyDescent="0.35">
      <c r="A10" t="s">
        <v>322</v>
      </c>
      <c r="B10" t="s">
        <v>323</v>
      </c>
      <c r="C10" t="str">
        <f>TRIM(Sales!G2)</f>
        <v>Wireless Mouse</v>
      </c>
    </row>
    <row r="11" spans="1:3" x14ac:dyDescent="0.35">
      <c r="A11" t="s">
        <v>324</v>
      </c>
      <c r="B11" t="s">
        <v>325</v>
      </c>
      <c r="C11" t="str">
        <f>Sales!C2&amp;"-"&amp;Sales!D2</f>
        <v>North-Priya Nair</v>
      </c>
    </row>
    <row r="12" spans="1:3" x14ac:dyDescent="0.35">
      <c r="A12" t="s">
        <v>326</v>
      </c>
      <c r="B12" t="s">
        <v>327</v>
      </c>
      <c r="C12" t="str">
        <f>Sales!C2&amp;"-"&amp;Sales!E2</f>
        <v>North-Online</v>
      </c>
    </row>
    <row r="13" spans="1:3" x14ac:dyDescent="0.35">
      <c r="A13" t="s">
        <v>328</v>
      </c>
      <c r="B13" t="s">
        <v>329</v>
      </c>
      <c r="C13" t="str">
        <f>SUBSTITUTE(Sales!A2,"ORD-","")</f>
        <v>1001</v>
      </c>
    </row>
    <row r="14" spans="1:3" x14ac:dyDescent="0.35">
      <c r="A14" t="s">
        <v>330</v>
      </c>
      <c r="B14" t="s">
        <v>331</v>
      </c>
      <c r="C14">
        <f>FIND("-",Sales!A2)</f>
        <v>4</v>
      </c>
    </row>
    <row r="15" spans="1:3" x14ac:dyDescent="0.35">
      <c r="A15" t="s">
        <v>332</v>
      </c>
      <c r="B15" t="s">
        <v>333</v>
      </c>
      <c r="C15">
        <f>SEARCH("ord",Sales!A2)</f>
        <v>1</v>
      </c>
    </row>
    <row r="16" spans="1:3" x14ac:dyDescent="0.35">
      <c r="A16" t="s">
        <v>334</v>
      </c>
      <c r="B16" t="s">
        <v>335</v>
      </c>
      <c r="C16" t="str">
        <f>LEFT(Sales!A2,FIND("-",Sales!A2)-1)</f>
        <v>ORD</v>
      </c>
    </row>
    <row r="17" spans="1:3" x14ac:dyDescent="0.35">
      <c r="A17" t="s">
        <v>336</v>
      </c>
      <c r="B17" t="s">
        <v>337</v>
      </c>
      <c r="C17" t="str">
        <f>MID(Sales!A2,FIND("-",Sales!A2)+1,LEN(Sales!A2))</f>
        <v>1001</v>
      </c>
    </row>
    <row r="18" spans="1:3" x14ac:dyDescent="0.35">
      <c r="A18" t="s">
        <v>338</v>
      </c>
      <c r="B18" t="s">
        <v>339</v>
      </c>
      <c r="C18">
        <f>VALUE(MID(Sales!A2,FIND("-",Sales!A2)+1,LEN(Sales!A2)))</f>
        <v>1001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8" customWidth="1"/>
    <col min="3" max="3" width="24" customWidth="1"/>
    <col min="4" max="4" width="12" customWidth="1"/>
    <col min="5" max="5" width="16" customWidth="1"/>
    <col min="6" max="8" width="18" customWidth="1"/>
    <col min="9" max="9" width="14" customWidth="1"/>
    <col min="10" max="10" width="18" customWidth="1"/>
    <col min="11" max="11" width="14" customWidth="1"/>
    <col min="12" max="12" width="24" customWidth="1"/>
    <col min="13" max="13" width="28" customWidth="1"/>
    <col min="14" max="14" width="22" customWidth="1"/>
    <col min="15" max="15" width="14" customWidth="1"/>
  </cols>
  <sheetData>
    <row r="1" spans="1:15" x14ac:dyDescent="0.35">
      <c r="A1" s="1" t="s">
        <v>0</v>
      </c>
      <c r="B1" s="1" t="s">
        <v>3</v>
      </c>
      <c r="C1" s="1" t="s">
        <v>6</v>
      </c>
      <c r="D1" s="1" t="s">
        <v>2</v>
      </c>
      <c r="E1" s="1" t="s">
        <v>4</v>
      </c>
      <c r="F1" s="1" t="s">
        <v>340</v>
      </c>
      <c r="G1" s="1" t="s">
        <v>341</v>
      </c>
      <c r="H1" s="1" t="s">
        <v>342</v>
      </c>
      <c r="I1" s="1" t="s">
        <v>343</v>
      </c>
      <c r="J1" s="1" t="s">
        <v>344</v>
      </c>
      <c r="K1" s="1" t="s">
        <v>345</v>
      </c>
      <c r="L1" s="1" t="s">
        <v>346</v>
      </c>
      <c r="M1" s="1" t="s">
        <v>347</v>
      </c>
      <c r="N1" s="1" t="s">
        <v>348</v>
      </c>
      <c r="O1" s="1" t="s">
        <v>349</v>
      </c>
    </row>
    <row r="2" spans="1:15" x14ac:dyDescent="0.35">
      <c r="A2" t="str">
        <f>Sales!A2</f>
        <v>ORD-1001</v>
      </c>
      <c r="B2" t="str">
        <f>Sales!D2</f>
        <v>Priya Nair</v>
      </c>
      <c r="C2" t="str">
        <f>Sales!G2</f>
        <v>Wireless Mouse</v>
      </c>
      <c r="D2" t="str">
        <f>Sales!C2</f>
        <v>North</v>
      </c>
      <c r="E2" t="str">
        <f>Sales!E2</f>
        <v>Online</v>
      </c>
      <c r="F2" t="str">
        <f t="shared" ref="F2:F33" si="0">UPPER(B2)</f>
        <v>PRIYA NAIR</v>
      </c>
      <c r="G2" t="str">
        <f t="shared" ref="G2:G33" si="1">LOWER(B2)</f>
        <v>priya nair</v>
      </c>
      <c r="H2" t="str">
        <f t="shared" ref="H2:H33" si="2">PROPER(B2)</f>
        <v>Priya Nair</v>
      </c>
      <c r="I2" t="str">
        <f t="shared" ref="I2:I33" si="3">LEFT(A2,3)</f>
        <v>ORD</v>
      </c>
      <c r="J2" t="str">
        <f t="shared" ref="J2:J33" si="4">RIGHT(A2,4)</f>
        <v>1001</v>
      </c>
      <c r="K2">
        <f t="shared" ref="K2:K33" si="5">LEN(C2)</f>
        <v>14</v>
      </c>
      <c r="L2" t="str">
        <f t="shared" ref="L2:L33" si="6">TRIM(C2)</f>
        <v>Wireless Mouse</v>
      </c>
      <c r="M2" t="str">
        <f t="shared" ref="M2:M33" si="7">D2&amp;"-"&amp;B2</f>
        <v>North-Priya Nair</v>
      </c>
      <c r="N2" t="str">
        <f t="shared" ref="N2:N33" si="8">D2&amp;"-"&amp;E2</f>
        <v>North-Online</v>
      </c>
      <c r="O2">
        <f t="shared" ref="O2:O33" si="9">VALUE(MID(A2,FIND("-",A2)+1,LEN(A2)))</f>
        <v>1001</v>
      </c>
    </row>
    <row r="3" spans="1:15" x14ac:dyDescent="0.35">
      <c r="A3" t="str">
        <f>Sales!A3</f>
        <v>ORD-1002</v>
      </c>
      <c r="B3" t="str">
        <f>Sales!D3</f>
        <v>Priya Nair</v>
      </c>
      <c r="C3" t="str">
        <f>Sales!G3</f>
        <v>Filing Cabinet</v>
      </c>
      <c r="D3" t="str">
        <f>Sales!C3</f>
        <v>North</v>
      </c>
      <c r="E3" t="str">
        <f>Sales!E3</f>
        <v>Retail Store</v>
      </c>
      <c r="F3" t="str">
        <f t="shared" si="0"/>
        <v>PRIYA NAIR</v>
      </c>
      <c r="G3" t="str">
        <f t="shared" si="1"/>
        <v>priya nair</v>
      </c>
      <c r="H3" t="str">
        <f t="shared" si="2"/>
        <v>Priya Nair</v>
      </c>
      <c r="I3" t="str">
        <f t="shared" si="3"/>
        <v>ORD</v>
      </c>
      <c r="J3" t="str">
        <f t="shared" si="4"/>
        <v>1002</v>
      </c>
      <c r="K3">
        <f t="shared" si="5"/>
        <v>14</v>
      </c>
      <c r="L3" t="str">
        <f t="shared" si="6"/>
        <v>Filing Cabinet</v>
      </c>
      <c r="M3" t="str">
        <f t="shared" si="7"/>
        <v>North-Priya Nair</v>
      </c>
      <c r="N3" t="str">
        <f t="shared" si="8"/>
        <v>North-Retail Store</v>
      </c>
      <c r="O3">
        <f t="shared" si="9"/>
        <v>1002</v>
      </c>
    </row>
    <row r="4" spans="1:15" x14ac:dyDescent="0.35">
      <c r="A4" t="str">
        <f>Sales!A4</f>
        <v>ORD-1003</v>
      </c>
      <c r="B4" t="str">
        <f>Sales!D4</f>
        <v>Ananya Joshi</v>
      </c>
      <c r="C4" t="str">
        <f>Sales!G4</f>
        <v>Gel Pen Pack</v>
      </c>
      <c r="D4" t="str">
        <f>Sales!C4</f>
        <v>West</v>
      </c>
      <c r="E4" t="str">
        <f>Sales!E4</f>
        <v>Retail Store</v>
      </c>
      <c r="F4" t="str">
        <f t="shared" si="0"/>
        <v>ANANYA JOSHI</v>
      </c>
      <c r="G4" t="str">
        <f t="shared" si="1"/>
        <v>ananya joshi</v>
      </c>
      <c r="H4" t="str">
        <f t="shared" si="2"/>
        <v>Ananya Joshi</v>
      </c>
      <c r="I4" t="str">
        <f t="shared" si="3"/>
        <v>ORD</v>
      </c>
      <c r="J4" t="str">
        <f t="shared" si="4"/>
        <v>1003</v>
      </c>
      <c r="K4">
        <f t="shared" si="5"/>
        <v>12</v>
      </c>
      <c r="L4" t="str">
        <f t="shared" si="6"/>
        <v>Gel Pen Pack</v>
      </c>
      <c r="M4" t="str">
        <f t="shared" si="7"/>
        <v>West-Ananya Joshi</v>
      </c>
      <c r="N4" t="str">
        <f t="shared" si="8"/>
        <v>West-Retail Store</v>
      </c>
      <c r="O4">
        <f t="shared" si="9"/>
        <v>1003</v>
      </c>
    </row>
    <row r="5" spans="1:15" x14ac:dyDescent="0.35">
      <c r="A5" t="str">
        <f>Sales!A5</f>
        <v>ORD-1004</v>
      </c>
      <c r="B5" t="str">
        <f>Sales!D5</f>
        <v>Rahul Iyer</v>
      </c>
      <c r="C5" t="str">
        <f>Sales!G5</f>
        <v>Standing Desk</v>
      </c>
      <c r="D5" t="str">
        <f>Sales!C5</f>
        <v>South</v>
      </c>
      <c r="E5" t="str">
        <f>Sales!E5</f>
        <v>Retail Store</v>
      </c>
      <c r="F5" t="str">
        <f t="shared" si="0"/>
        <v>RAHUL IYER</v>
      </c>
      <c r="G5" t="str">
        <f t="shared" si="1"/>
        <v>rahul iyer</v>
      </c>
      <c r="H5" t="str">
        <f t="shared" si="2"/>
        <v>Rahul Iyer</v>
      </c>
      <c r="I5" t="str">
        <f t="shared" si="3"/>
        <v>ORD</v>
      </c>
      <c r="J5" t="str">
        <f t="shared" si="4"/>
        <v>1004</v>
      </c>
      <c r="K5">
        <f t="shared" si="5"/>
        <v>13</v>
      </c>
      <c r="L5" t="str">
        <f t="shared" si="6"/>
        <v>Standing Desk</v>
      </c>
      <c r="M5" t="str">
        <f t="shared" si="7"/>
        <v>South-Rahul Iyer</v>
      </c>
      <c r="N5" t="str">
        <f t="shared" si="8"/>
        <v>South-Retail Store</v>
      </c>
      <c r="O5">
        <f t="shared" si="9"/>
        <v>1004</v>
      </c>
    </row>
    <row r="6" spans="1:15" x14ac:dyDescent="0.35">
      <c r="A6" t="str">
        <f>Sales!A6</f>
        <v>ORD-1005</v>
      </c>
      <c r="B6" t="str">
        <f>Sales!D6</f>
        <v>Kabir Das</v>
      </c>
      <c r="C6" t="str">
        <f>Sales!G6</f>
        <v>Noise Cancel Headset</v>
      </c>
      <c r="D6" t="str">
        <f>Sales!C6</f>
        <v>East</v>
      </c>
      <c r="E6" t="str">
        <f>Sales!E6</f>
        <v>Retail Store</v>
      </c>
      <c r="F6" t="str">
        <f t="shared" si="0"/>
        <v>KABIR DAS</v>
      </c>
      <c r="G6" t="str">
        <f t="shared" si="1"/>
        <v>kabir das</v>
      </c>
      <c r="H6" t="str">
        <f t="shared" si="2"/>
        <v>Kabir Das</v>
      </c>
      <c r="I6" t="str">
        <f t="shared" si="3"/>
        <v>ORD</v>
      </c>
      <c r="J6" t="str">
        <f t="shared" si="4"/>
        <v>1005</v>
      </c>
      <c r="K6">
        <f t="shared" si="5"/>
        <v>20</v>
      </c>
      <c r="L6" t="str">
        <f t="shared" si="6"/>
        <v>Noise Cancel Headset</v>
      </c>
      <c r="M6" t="str">
        <f t="shared" si="7"/>
        <v>East-Kabir Das</v>
      </c>
      <c r="N6" t="str">
        <f t="shared" si="8"/>
        <v>East-Retail Store</v>
      </c>
      <c r="O6">
        <f t="shared" si="9"/>
        <v>1005</v>
      </c>
    </row>
    <row r="7" spans="1:15" x14ac:dyDescent="0.35">
      <c r="A7" t="str">
        <f>Sales!A7</f>
        <v>ORD-1006</v>
      </c>
      <c r="B7" t="str">
        <f>Sales!D7</f>
        <v>Vikram Shah</v>
      </c>
      <c r="C7" t="str">
        <f>Sales!G7</f>
        <v>Noise Cancel Headset</v>
      </c>
      <c r="D7" t="str">
        <f>Sales!C7</f>
        <v>West</v>
      </c>
      <c r="E7" t="str">
        <f>Sales!E7</f>
        <v>Partner</v>
      </c>
      <c r="F7" t="str">
        <f t="shared" si="0"/>
        <v>VIKRAM SHAH</v>
      </c>
      <c r="G7" t="str">
        <f t="shared" si="1"/>
        <v>vikram shah</v>
      </c>
      <c r="H7" t="str">
        <f t="shared" si="2"/>
        <v>Vikram Shah</v>
      </c>
      <c r="I7" t="str">
        <f t="shared" si="3"/>
        <v>ORD</v>
      </c>
      <c r="J7" t="str">
        <f t="shared" si="4"/>
        <v>1006</v>
      </c>
      <c r="K7">
        <f t="shared" si="5"/>
        <v>20</v>
      </c>
      <c r="L7" t="str">
        <f t="shared" si="6"/>
        <v>Noise Cancel Headset</v>
      </c>
      <c r="M7" t="str">
        <f t="shared" si="7"/>
        <v>West-Vikram Shah</v>
      </c>
      <c r="N7" t="str">
        <f t="shared" si="8"/>
        <v>West-Partner</v>
      </c>
      <c r="O7">
        <f t="shared" si="9"/>
        <v>1006</v>
      </c>
    </row>
    <row r="8" spans="1:15" x14ac:dyDescent="0.35">
      <c r="A8" t="str">
        <f>Sales!A8</f>
        <v>ORD-1007</v>
      </c>
      <c r="B8" t="str">
        <f>Sales!D8</f>
        <v>Meera Sen</v>
      </c>
      <c r="C8" t="str">
        <f>Sales!G8</f>
        <v>Gel Pen Pack</v>
      </c>
      <c r="D8" t="str">
        <f>Sales!C8</f>
        <v>East</v>
      </c>
      <c r="E8" t="str">
        <f>Sales!E8</f>
        <v>Retail Store</v>
      </c>
      <c r="F8" t="str">
        <f t="shared" si="0"/>
        <v>MEERA SEN</v>
      </c>
      <c r="G8" t="str">
        <f t="shared" si="1"/>
        <v>meera sen</v>
      </c>
      <c r="H8" t="str">
        <f t="shared" si="2"/>
        <v>Meera Sen</v>
      </c>
      <c r="I8" t="str">
        <f t="shared" si="3"/>
        <v>ORD</v>
      </c>
      <c r="J8" t="str">
        <f t="shared" si="4"/>
        <v>1007</v>
      </c>
      <c r="K8">
        <f t="shared" si="5"/>
        <v>12</v>
      </c>
      <c r="L8" t="str">
        <f t="shared" si="6"/>
        <v>Gel Pen Pack</v>
      </c>
      <c r="M8" t="str">
        <f t="shared" si="7"/>
        <v>East-Meera Sen</v>
      </c>
      <c r="N8" t="str">
        <f t="shared" si="8"/>
        <v>East-Retail Store</v>
      </c>
      <c r="O8">
        <f t="shared" si="9"/>
        <v>1007</v>
      </c>
    </row>
    <row r="9" spans="1:15" x14ac:dyDescent="0.35">
      <c r="A9" t="str">
        <f>Sales!A9</f>
        <v>ORD-1008</v>
      </c>
      <c r="B9" t="str">
        <f>Sales!D9</f>
        <v>Sneha Rao</v>
      </c>
      <c r="C9" t="str">
        <f>Sales!G9</f>
        <v>Wireless Mouse</v>
      </c>
      <c r="D9" t="str">
        <f>Sales!C9</f>
        <v>South</v>
      </c>
      <c r="E9" t="str">
        <f>Sales!E9</f>
        <v>Partner</v>
      </c>
      <c r="F9" t="str">
        <f t="shared" si="0"/>
        <v>SNEHA RAO</v>
      </c>
      <c r="G9" t="str">
        <f t="shared" si="1"/>
        <v>sneha rao</v>
      </c>
      <c r="H9" t="str">
        <f t="shared" si="2"/>
        <v>Sneha Rao</v>
      </c>
      <c r="I9" t="str">
        <f t="shared" si="3"/>
        <v>ORD</v>
      </c>
      <c r="J9" t="str">
        <f t="shared" si="4"/>
        <v>1008</v>
      </c>
      <c r="K9">
        <f t="shared" si="5"/>
        <v>14</v>
      </c>
      <c r="L9" t="str">
        <f t="shared" si="6"/>
        <v>Wireless Mouse</v>
      </c>
      <c r="M9" t="str">
        <f t="shared" si="7"/>
        <v>South-Sneha Rao</v>
      </c>
      <c r="N9" t="str">
        <f t="shared" si="8"/>
        <v>South-Partner</v>
      </c>
      <c r="O9">
        <f t="shared" si="9"/>
        <v>1008</v>
      </c>
    </row>
    <row r="10" spans="1:15" x14ac:dyDescent="0.35">
      <c r="A10" t="str">
        <f>Sales!A10</f>
        <v>ORD-1009</v>
      </c>
      <c r="B10" t="str">
        <f>Sales!D10</f>
        <v>Rahul Iyer</v>
      </c>
      <c r="C10" t="str">
        <f>Sales!G10</f>
        <v>Notebook Set</v>
      </c>
      <c r="D10" t="str">
        <f>Sales!C10</f>
        <v>South</v>
      </c>
      <c r="E10" t="str">
        <f>Sales!E10</f>
        <v>Retail Store</v>
      </c>
      <c r="F10" t="str">
        <f t="shared" si="0"/>
        <v>RAHUL IYER</v>
      </c>
      <c r="G10" t="str">
        <f t="shared" si="1"/>
        <v>rahul iyer</v>
      </c>
      <c r="H10" t="str">
        <f t="shared" si="2"/>
        <v>Rahul Iyer</v>
      </c>
      <c r="I10" t="str">
        <f t="shared" si="3"/>
        <v>ORD</v>
      </c>
      <c r="J10" t="str">
        <f t="shared" si="4"/>
        <v>1009</v>
      </c>
      <c r="K10">
        <f t="shared" si="5"/>
        <v>12</v>
      </c>
      <c r="L10" t="str">
        <f t="shared" si="6"/>
        <v>Notebook Set</v>
      </c>
      <c r="M10" t="str">
        <f t="shared" si="7"/>
        <v>South-Rahul Iyer</v>
      </c>
      <c r="N10" t="str">
        <f t="shared" si="8"/>
        <v>South-Retail Store</v>
      </c>
      <c r="O10">
        <f t="shared" si="9"/>
        <v>1009</v>
      </c>
    </row>
    <row r="11" spans="1:15" x14ac:dyDescent="0.35">
      <c r="A11" t="str">
        <f>Sales!A11</f>
        <v>ORD-1010</v>
      </c>
      <c r="B11" t="str">
        <f>Sales!D11</f>
        <v>Kabir Das</v>
      </c>
      <c r="C11" t="str">
        <f>Sales!G11</f>
        <v>Filing Cabinet</v>
      </c>
      <c r="D11" t="str">
        <f>Sales!C11</f>
        <v>East</v>
      </c>
      <c r="E11" t="str">
        <f>Sales!E11</f>
        <v>Partner</v>
      </c>
      <c r="F11" t="str">
        <f t="shared" si="0"/>
        <v>KABIR DAS</v>
      </c>
      <c r="G11" t="str">
        <f t="shared" si="1"/>
        <v>kabir das</v>
      </c>
      <c r="H11" t="str">
        <f t="shared" si="2"/>
        <v>Kabir Das</v>
      </c>
      <c r="I11" t="str">
        <f t="shared" si="3"/>
        <v>ORD</v>
      </c>
      <c r="J11" t="str">
        <f t="shared" si="4"/>
        <v>1010</v>
      </c>
      <c r="K11">
        <f t="shared" si="5"/>
        <v>14</v>
      </c>
      <c r="L11" t="str">
        <f t="shared" si="6"/>
        <v>Filing Cabinet</v>
      </c>
      <c r="M11" t="str">
        <f t="shared" si="7"/>
        <v>East-Kabir Das</v>
      </c>
      <c r="N11" t="str">
        <f t="shared" si="8"/>
        <v>East-Partner</v>
      </c>
      <c r="O11">
        <f t="shared" si="9"/>
        <v>1010</v>
      </c>
    </row>
    <row r="12" spans="1:15" x14ac:dyDescent="0.35">
      <c r="A12" t="str">
        <f>Sales!A12</f>
        <v>ORD-1011</v>
      </c>
      <c r="B12" t="str">
        <f>Sales!D12</f>
        <v>Vikram Shah</v>
      </c>
      <c r="C12" t="str">
        <f>Sales!G12</f>
        <v>Laptop Pro 14</v>
      </c>
      <c r="D12" t="str">
        <f>Sales!C12</f>
        <v>West</v>
      </c>
      <c r="E12" t="str">
        <f>Sales!E12</f>
        <v>Online</v>
      </c>
      <c r="F12" t="str">
        <f t="shared" si="0"/>
        <v>VIKRAM SHAH</v>
      </c>
      <c r="G12" t="str">
        <f t="shared" si="1"/>
        <v>vikram shah</v>
      </c>
      <c r="H12" t="str">
        <f t="shared" si="2"/>
        <v>Vikram Shah</v>
      </c>
      <c r="I12" t="str">
        <f t="shared" si="3"/>
        <v>ORD</v>
      </c>
      <c r="J12" t="str">
        <f t="shared" si="4"/>
        <v>1011</v>
      </c>
      <c r="K12">
        <f t="shared" si="5"/>
        <v>13</v>
      </c>
      <c r="L12" t="str">
        <f t="shared" si="6"/>
        <v>Laptop Pro 14</v>
      </c>
      <c r="M12" t="str">
        <f t="shared" si="7"/>
        <v>West-Vikram Shah</v>
      </c>
      <c r="N12" t="str">
        <f t="shared" si="8"/>
        <v>West-Online</v>
      </c>
      <c r="O12">
        <f t="shared" si="9"/>
        <v>1011</v>
      </c>
    </row>
    <row r="13" spans="1:15" x14ac:dyDescent="0.35">
      <c r="A13" t="str">
        <f>Sales!A13</f>
        <v>ORD-1012</v>
      </c>
      <c r="B13" t="str">
        <f>Sales!D13</f>
        <v>Priya Nair</v>
      </c>
      <c r="C13" t="str">
        <f>Sales!G13</f>
        <v>Laptop Pro 14</v>
      </c>
      <c r="D13" t="str">
        <f>Sales!C13</f>
        <v>North</v>
      </c>
      <c r="E13" t="str">
        <f>Sales!E13</f>
        <v>Retail Store</v>
      </c>
      <c r="F13" t="str">
        <f t="shared" si="0"/>
        <v>PRIYA NAIR</v>
      </c>
      <c r="G13" t="str">
        <f t="shared" si="1"/>
        <v>priya nair</v>
      </c>
      <c r="H13" t="str">
        <f t="shared" si="2"/>
        <v>Priya Nair</v>
      </c>
      <c r="I13" t="str">
        <f t="shared" si="3"/>
        <v>ORD</v>
      </c>
      <c r="J13" t="str">
        <f t="shared" si="4"/>
        <v>1012</v>
      </c>
      <c r="K13">
        <f t="shared" si="5"/>
        <v>13</v>
      </c>
      <c r="L13" t="str">
        <f t="shared" si="6"/>
        <v>Laptop Pro 14</v>
      </c>
      <c r="M13" t="str">
        <f t="shared" si="7"/>
        <v>North-Priya Nair</v>
      </c>
      <c r="N13" t="str">
        <f t="shared" si="8"/>
        <v>North-Retail Store</v>
      </c>
      <c r="O13">
        <f t="shared" si="9"/>
        <v>1012</v>
      </c>
    </row>
    <row r="14" spans="1:15" x14ac:dyDescent="0.35">
      <c r="A14" t="str">
        <f>Sales!A14</f>
        <v>ORD-1013</v>
      </c>
      <c r="B14" t="str">
        <f>Sales!D14</f>
        <v>Ananya Joshi</v>
      </c>
      <c r="C14" t="str">
        <f>Sales!G14</f>
        <v>Standing Desk</v>
      </c>
      <c r="D14" t="str">
        <f>Sales!C14</f>
        <v>West</v>
      </c>
      <c r="E14" t="str">
        <f>Sales!E14</f>
        <v>Online</v>
      </c>
      <c r="F14" t="str">
        <f t="shared" si="0"/>
        <v>ANANYA JOSHI</v>
      </c>
      <c r="G14" t="str">
        <f t="shared" si="1"/>
        <v>ananya joshi</v>
      </c>
      <c r="H14" t="str">
        <f t="shared" si="2"/>
        <v>Ananya Joshi</v>
      </c>
      <c r="I14" t="str">
        <f t="shared" si="3"/>
        <v>ORD</v>
      </c>
      <c r="J14" t="str">
        <f t="shared" si="4"/>
        <v>1013</v>
      </c>
      <c r="K14">
        <f t="shared" si="5"/>
        <v>13</v>
      </c>
      <c r="L14" t="str">
        <f t="shared" si="6"/>
        <v>Standing Desk</v>
      </c>
      <c r="M14" t="str">
        <f t="shared" si="7"/>
        <v>West-Ananya Joshi</v>
      </c>
      <c r="N14" t="str">
        <f t="shared" si="8"/>
        <v>West-Online</v>
      </c>
      <c r="O14">
        <f t="shared" si="9"/>
        <v>1013</v>
      </c>
    </row>
    <row r="15" spans="1:15" x14ac:dyDescent="0.35">
      <c r="A15" t="str">
        <f>Sales!A15</f>
        <v>ORD-1014</v>
      </c>
      <c r="B15" t="str">
        <f>Sales!D15</f>
        <v>Sneha Rao</v>
      </c>
      <c r="C15" t="str">
        <f>Sales!G15</f>
        <v>Noise Cancel Headset</v>
      </c>
      <c r="D15" t="str">
        <f>Sales!C15</f>
        <v>South</v>
      </c>
      <c r="E15" t="str">
        <f>Sales!E15</f>
        <v>Partner</v>
      </c>
      <c r="F15" t="str">
        <f t="shared" si="0"/>
        <v>SNEHA RAO</v>
      </c>
      <c r="G15" t="str">
        <f t="shared" si="1"/>
        <v>sneha rao</v>
      </c>
      <c r="H15" t="str">
        <f t="shared" si="2"/>
        <v>Sneha Rao</v>
      </c>
      <c r="I15" t="str">
        <f t="shared" si="3"/>
        <v>ORD</v>
      </c>
      <c r="J15" t="str">
        <f t="shared" si="4"/>
        <v>1014</v>
      </c>
      <c r="K15">
        <f t="shared" si="5"/>
        <v>20</v>
      </c>
      <c r="L15" t="str">
        <f t="shared" si="6"/>
        <v>Noise Cancel Headset</v>
      </c>
      <c r="M15" t="str">
        <f t="shared" si="7"/>
        <v>South-Sneha Rao</v>
      </c>
      <c r="N15" t="str">
        <f t="shared" si="8"/>
        <v>South-Partner</v>
      </c>
      <c r="O15">
        <f t="shared" si="9"/>
        <v>1014</v>
      </c>
    </row>
    <row r="16" spans="1:15" x14ac:dyDescent="0.35">
      <c r="A16" t="str">
        <f>Sales!A16</f>
        <v>ORD-1015</v>
      </c>
      <c r="B16" t="str">
        <f>Sales!D16</f>
        <v>Priya Nair</v>
      </c>
      <c r="C16" t="str">
        <f>Sales!G16</f>
        <v>Laptop Pro 14</v>
      </c>
      <c r="D16" t="str">
        <f>Sales!C16</f>
        <v>North</v>
      </c>
      <c r="E16" t="str">
        <f>Sales!E16</f>
        <v>Partner</v>
      </c>
      <c r="F16" t="str">
        <f t="shared" si="0"/>
        <v>PRIYA NAIR</v>
      </c>
      <c r="G16" t="str">
        <f t="shared" si="1"/>
        <v>priya nair</v>
      </c>
      <c r="H16" t="str">
        <f t="shared" si="2"/>
        <v>Priya Nair</v>
      </c>
      <c r="I16" t="str">
        <f t="shared" si="3"/>
        <v>ORD</v>
      </c>
      <c r="J16" t="str">
        <f t="shared" si="4"/>
        <v>1015</v>
      </c>
      <c r="K16">
        <f t="shared" si="5"/>
        <v>13</v>
      </c>
      <c r="L16" t="str">
        <f t="shared" si="6"/>
        <v>Laptop Pro 14</v>
      </c>
      <c r="M16" t="str">
        <f t="shared" si="7"/>
        <v>North-Priya Nair</v>
      </c>
      <c r="N16" t="str">
        <f t="shared" si="8"/>
        <v>North-Partner</v>
      </c>
      <c r="O16">
        <f t="shared" si="9"/>
        <v>1015</v>
      </c>
    </row>
    <row r="17" spans="1:15" x14ac:dyDescent="0.35">
      <c r="A17" t="str">
        <f>Sales!A17</f>
        <v>ORD-1016</v>
      </c>
      <c r="B17" t="str">
        <f>Sales!D17</f>
        <v>Kabir Das</v>
      </c>
      <c r="C17" t="str">
        <f>Sales!G17</f>
        <v>Gel Pen Pack</v>
      </c>
      <c r="D17" t="str">
        <f>Sales!C17</f>
        <v>East</v>
      </c>
      <c r="E17" t="str">
        <f>Sales!E17</f>
        <v>Online</v>
      </c>
      <c r="F17" t="str">
        <f t="shared" si="0"/>
        <v>KABIR DAS</v>
      </c>
      <c r="G17" t="str">
        <f t="shared" si="1"/>
        <v>kabir das</v>
      </c>
      <c r="H17" t="str">
        <f t="shared" si="2"/>
        <v>Kabir Das</v>
      </c>
      <c r="I17" t="str">
        <f t="shared" si="3"/>
        <v>ORD</v>
      </c>
      <c r="J17" t="str">
        <f t="shared" si="4"/>
        <v>1016</v>
      </c>
      <c r="K17">
        <f t="shared" si="5"/>
        <v>12</v>
      </c>
      <c r="L17" t="str">
        <f t="shared" si="6"/>
        <v>Gel Pen Pack</v>
      </c>
      <c r="M17" t="str">
        <f t="shared" si="7"/>
        <v>East-Kabir Das</v>
      </c>
      <c r="N17" t="str">
        <f t="shared" si="8"/>
        <v>East-Online</v>
      </c>
      <c r="O17">
        <f t="shared" si="9"/>
        <v>1016</v>
      </c>
    </row>
    <row r="18" spans="1:15" x14ac:dyDescent="0.35">
      <c r="A18" t="str">
        <f>Sales!A18</f>
        <v>ORD-1017</v>
      </c>
      <c r="B18" t="str">
        <f>Sales!D18</f>
        <v>Aarav Mehta_01</v>
      </c>
      <c r="C18" t="str">
        <f>Sales!G18</f>
        <v>Office Chair</v>
      </c>
      <c r="D18" t="str">
        <f>Sales!C18</f>
        <v>North</v>
      </c>
      <c r="E18" t="str">
        <f>Sales!E18</f>
        <v>Partner</v>
      </c>
      <c r="F18" t="str">
        <f t="shared" si="0"/>
        <v>AARAV MEHTA_01</v>
      </c>
      <c r="G18" t="str">
        <f t="shared" si="1"/>
        <v>aarav mehta_01</v>
      </c>
      <c r="H18" t="str">
        <f t="shared" si="2"/>
        <v>Aarav Mehta_01</v>
      </c>
      <c r="I18" t="str">
        <f t="shared" si="3"/>
        <v>ORD</v>
      </c>
      <c r="J18" t="str">
        <f t="shared" si="4"/>
        <v>1017</v>
      </c>
      <c r="K18">
        <f t="shared" si="5"/>
        <v>12</v>
      </c>
      <c r="L18" t="str">
        <f t="shared" si="6"/>
        <v>Office Chair</v>
      </c>
      <c r="M18" t="str">
        <f t="shared" si="7"/>
        <v>North-Aarav Mehta_01</v>
      </c>
      <c r="N18" t="str">
        <f t="shared" si="8"/>
        <v>North-Partner</v>
      </c>
      <c r="O18">
        <f t="shared" si="9"/>
        <v>1017</v>
      </c>
    </row>
    <row r="19" spans="1:15" x14ac:dyDescent="0.35">
      <c r="A19" t="str">
        <f>Sales!A19</f>
        <v>ORD-1018</v>
      </c>
      <c r="B19" t="str">
        <f>Sales!D19</f>
        <v>Rahul Iyer</v>
      </c>
      <c r="C19" t="str">
        <f>Sales!G19</f>
        <v>Filing Cabinet</v>
      </c>
      <c r="D19" t="str">
        <f>Sales!C19</f>
        <v>South</v>
      </c>
      <c r="E19" t="str">
        <f>Sales!E19</f>
        <v>Online</v>
      </c>
      <c r="F19" t="str">
        <f t="shared" si="0"/>
        <v>RAHUL IYER</v>
      </c>
      <c r="G19" t="str">
        <f t="shared" si="1"/>
        <v>rahul iyer</v>
      </c>
      <c r="H19" t="str">
        <f t="shared" si="2"/>
        <v>Rahul Iyer</v>
      </c>
      <c r="I19" t="str">
        <f t="shared" si="3"/>
        <v>ORD</v>
      </c>
      <c r="J19" t="str">
        <f t="shared" si="4"/>
        <v>1018</v>
      </c>
      <c r="K19">
        <f t="shared" si="5"/>
        <v>14</v>
      </c>
      <c r="L19" t="str">
        <f t="shared" si="6"/>
        <v>Filing Cabinet</v>
      </c>
      <c r="M19" t="str">
        <f t="shared" si="7"/>
        <v>South-Rahul Iyer</v>
      </c>
      <c r="N19" t="str">
        <f t="shared" si="8"/>
        <v>South-Online</v>
      </c>
      <c r="O19">
        <f t="shared" si="9"/>
        <v>1018</v>
      </c>
    </row>
    <row r="20" spans="1:15" x14ac:dyDescent="0.35">
      <c r="A20" t="str">
        <f>Sales!A20</f>
        <v>ORD-1019</v>
      </c>
      <c r="B20" t="str">
        <f>Sales!D20</f>
        <v>Aarav Mehta</v>
      </c>
      <c r="C20" t="str">
        <f>Sales!G20</f>
        <v>Office Chair</v>
      </c>
      <c r="D20" t="str">
        <f>Sales!C20</f>
        <v>North</v>
      </c>
      <c r="E20" t="str">
        <f>Sales!E20</f>
        <v>Partner</v>
      </c>
      <c r="F20" t="str">
        <f t="shared" si="0"/>
        <v>AARAV MEHTA</v>
      </c>
      <c r="G20" t="str">
        <f t="shared" si="1"/>
        <v>aarav mehta</v>
      </c>
      <c r="H20" t="str">
        <f t="shared" si="2"/>
        <v>Aarav Mehta</v>
      </c>
      <c r="I20" t="str">
        <f t="shared" si="3"/>
        <v>ORD</v>
      </c>
      <c r="J20" t="str">
        <f t="shared" si="4"/>
        <v>1019</v>
      </c>
      <c r="K20">
        <f t="shared" si="5"/>
        <v>12</v>
      </c>
      <c r="L20" t="str">
        <f t="shared" si="6"/>
        <v>Office Chair</v>
      </c>
      <c r="M20" t="str">
        <f t="shared" si="7"/>
        <v>North-Aarav Mehta</v>
      </c>
      <c r="N20" t="str">
        <f t="shared" si="8"/>
        <v>North-Partner</v>
      </c>
      <c r="O20">
        <f t="shared" si="9"/>
        <v>1019</v>
      </c>
    </row>
    <row r="21" spans="1:15" x14ac:dyDescent="0.35">
      <c r="A21" t="str">
        <f>Sales!A21</f>
        <v>ORD-1020</v>
      </c>
      <c r="B21" t="str">
        <f>Sales!D21</f>
        <v>Aarav Mehta</v>
      </c>
      <c r="C21" t="str">
        <f>Sales!G21</f>
        <v>Standing Desk</v>
      </c>
      <c r="D21" t="str">
        <f>Sales!C21</f>
        <v>North</v>
      </c>
      <c r="E21" t="str">
        <f>Sales!E21</f>
        <v>Online</v>
      </c>
      <c r="F21" t="str">
        <f t="shared" si="0"/>
        <v>AARAV MEHTA</v>
      </c>
      <c r="G21" t="str">
        <f t="shared" si="1"/>
        <v>aarav mehta</v>
      </c>
      <c r="H21" t="str">
        <f t="shared" si="2"/>
        <v>Aarav Mehta</v>
      </c>
      <c r="I21" t="str">
        <f t="shared" si="3"/>
        <v>ORD</v>
      </c>
      <c r="J21" t="str">
        <f t="shared" si="4"/>
        <v>1020</v>
      </c>
      <c r="K21">
        <f t="shared" si="5"/>
        <v>13</v>
      </c>
      <c r="L21" t="str">
        <f t="shared" si="6"/>
        <v>Standing Desk</v>
      </c>
      <c r="M21" t="str">
        <f t="shared" si="7"/>
        <v>North-Aarav Mehta</v>
      </c>
      <c r="N21" t="str">
        <f t="shared" si="8"/>
        <v>North-Online</v>
      </c>
      <c r="O21">
        <f t="shared" si="9"/>
        <v>1020</v>
      </c>
    </row>
    <row r="22" spans="1:15" x14ac:dyDescent="0.35">
      <c r="A22" t="str">
        <f>Sales!A22</f>
        <v>ORD-1021</v>
      </c>
      <c r="B22" t="str">
        <f>Sales!D22</f>
        <v>Priya Nair</v>
      </c>
      <c r="C22" t="str">
        <f>Sales!G22</f>
        <v>Filing Cabinet</v>
      </c>
      <c r="D22" t="str">
        <f>Sales!C22</f>
        <v>North</v>
      </c>
      <c r="E22" t="str">
        <f>Sales!E22</f>
        <v>Partner</v>
      </c>
      <c r="F22" t="str">
        <f t="shared" si="0"/>
        <v>PRIYA NAIR</v>
      </c>
      <c r="G22" t="str">
        <f t="shared" si="1"/>
        <v>priya nair</v>
      </c>
      <c r="H22" t="str">
        <f t="shared" si="2"/>
        <v>Priya Nair</v>
      </c>
      <c r="I22" t="str">
        <f t="shared" si="3"/>
        <v>ORD</v>
      </c>
      <c r="J22" t="str">
        <f t="shared" si="4"/>
        <v>1021</v>
      </c>
      <c r="K22">
        <f t="shared" si="5"/>
        <v>14</v>
      </c>
      <c r="L22" t="str">
        <f t="shared" si="6"/>
        <v>Filing Cabinet</v>
      </c>
      <c r="M22" t="str">
        <f t="shared" si="7"/>
        <v>North-Priya Nair</v>
      </c>
      <c r="N22" t="str">
        <f t="shared" si="8"/>
        <v>North-Partner</v>
      </c>
      <c r="O22">
        <f t="shared" si="9"/>
        <v>1021</v>
      </c>
    </row>
    <row r="23" spans="1:15" x14ac:dyDescent="0.35">
      <c r="A23" t="str">
        <f>Sales!A23</f>
        <v>ORD-1022</v>
      </c>
      <c r="B23" t="str">
        <f>Sales!D23</f>
        <v>Sneha Rao</v>
      </c>
      <c r="C23" t="str">
        <f>Sales!G23</f>
        <v>Notebook Set</v>
      </c>
      <c r="D23" t="str">
        <f>Sales!C23</f>
        <v>South</v>
      </c>
      <c r="E23" t="str">
        <f>Sales!E23</f>
        <v>Online</v>
      </c>
      <c r="F23" t="str">
        <f t="shared" si="0"/>
        <v>SNEHA RAO</v>
      </c>
      <c r="G23" t="str">
        <f t="shared" si="1"/>
        <v>sneha rao</v>
      </c>
      <c r="H23" t="str">
        <f t="shared" si="2"/>
        <v>Sneha Rao</v>
      </c>
      <c r="I23" t="str">
        <f t="shared" si="3"/>
        <v>ORD</v>
      </c>
      <c r="J23" t="str">
        <f t="shared" si="4"/>
        <v>1022</v>
      </c>
      <c r="K23">
        <f t="shared" si="5"/>
        <v>12</v>
      </c>
      <c r="L23" t="str">
        <f t="shared" si="6"/>
        <v>Notebook Set</v>
      </c>
      <c r="M23" t="str">
        <f t="shared" si="7"/>
        <v>South-Sneha Rao</v>
      </c>
      <c r="N23" t="str">
        <f t="shared" si="8"/>
        <v>South-Online</v>
      </c>
      <c r="O23">
        <f t="shared" si="9"/>
        <v>1022</v>
      </c>
    </row>
    <row r="24" spans="1:15" x14ac:dyDescent="0.35">
      <c r="A24" t="str">
        <f>Sales!A24</f>
        <v>ORD-1023</v>
      </c>
      <c r="B24" t="str">
        <f>Sales!D24</f>
        <v>Meera Sen</v>
      </c>
      <c r="C24" t="str">
        <f>Sales!G24</f>
        <v>Office Chair</v>
      </c>
      <c r="D24" t="str">
        <f>Sales!C24</f>
        <v>East</v>
      </c>
      <c r="E24" t="str">
        <f>Sales!E24</f>
        <v>Online</v>
      </c>
      <c r="F24" t="str">
        <f t="shared" si="0"/>
        <v>MEERA SEN</v>
      </c>
      <c r="G24" t="str">
        <f t="shared" si="1"/>
        <v>meera sen</v>
      </c>
      <c r="H24" t="str">
        <f t="shared" si="2"/>
        <v>Meera Sen</v>
      </c>
      <c r="I24" t="str">
        <f t="shared" si="3"/>
        <v>ORD</v>
      </c>
      <c r="J24" t="str">
        <f t="shared" si="4"/>
        <v>1023</v>
      </c>
      <c r="K24">
        <f t="shared" si="5"/>
        <v>12</v>
      </c>
      <c r="L24" t="str">
        <f t="shared" si="6"/>
        <v>Office Chair</v>
      </c>
      <c r="M24" t="str">
        <f t="shared" si="7"/>
        <v>East-Meera Sen</v>
      </c>
      <c r="N24" t="str">
        <f t="shared" si="8"/>
        <v>East-Online</v>
      </c>
      <c r="O24">
        <f t="shared" si="9"/>
        <v>1023</v>
      </c>
    </row>
    <row r="25" spans="1:15" x14ac:dyDescent="0.35">
      <c r="A25" t="str">
        <f>Sales!A25</f>
        <v>ORD-1024</v>
      </c>
      <c r="B25" t="str">
        <f>Sales!D25</f>
        <v>Vikram Shah</v>
      </c>
      <c r="C25" t="str">
        <f>Sales!G25</f>
        <v>Office Chair</v>
      </c>
      <c r="D25" t="str">
        <f>Sales!C25</f>
        <v>West</v>
      </c>
      <c r="E25" t="str">
        <f>Sales!E25</f>
        <v>Retail Store</v>
      </c>
      <c r="F25" t="str">
        <f t="shared" si="0"/>
        <v>VIKRAM SHAH</v>
      </c>
      <c r="G25" t="str">
        <f t="shared" si="1"/>
        <v>vikram shah</v>
      </c>
      <c r="H25" t="str">
        <f t="shared" si="2"/>
        <v>Vikram Shah</v>
      </c>
      <c r="I25" t="str">
        <f t="shared" si="3"/>
        <v>ORD</v>
      </c>
      <c r="J25" t="str">
        <f t="shared" si="4"/>
        <v>1024</v>
      </c>
      <c r="K25">
        <f t="shared" si="5"/>
        <v>12</v>
      </c>
      <c r="L25" t="str">
        <f t="shared" si="6"/>
        <v>Office Chair</v>
      </c>
      <c r="M25" t="str">
        <f t="shared" si="7"/>
        <v>West-Vikram Shah</v>
      </c>
      <c r="N25" t="str">
        <f t="shared" si="8"/>
        <v>West-Retail Store</v>
      </c>
      <c r="O25">
        <f t="shared" si="9"/>
        <v>1024</v>
      </c>
    </row>
    <row r="26" spans="1:15" x14ac:dyDescent="0.35">
      <c r="A26" t="str">
        <f>Sales!A26</f>
        <v>ORD-1025</v>
      </c>
      <c r="B26" t="str">
        <f>Sales!D26</f>
        <v>Sneha Rao</v>
      </c>
      <c r="C26" t="str">
        <f>Sales!G26</f>
        <v>Noise Cancel Headset</v>
      </c>
      <c r="D26" t="str">
        <f>Sales!C26</f>
        <v>South</v>
      </c>
      <c r="E26" t="str">
        <f>Sales!E26</f>
        <v>Retail Store</v>
      </c>
      <c r="F26" t="str">
        <f t="shared" si="0"/>
        <v>SNEHA RAO</v>
      </c>
      <c r="G26" t="str">
        <f t="shared" si="1"/>
        <v>sneha rao</v>
      </c>
      <c r="H26" t="str">
        <f t="shared" si="2"/>
        <v>Sneha Rao</v>
      </c>
      <c r="I26" t="str">
        <f t="shared" si="3"/>
        <v>ORD</v>
      </c>
      <c r="J26" t="str">
        <f t="shared" si="4"/>
        <v>1025</v>
      </c>
      <c r="K26">
        <f t="shared" si="5"/>
        <v>20</v>
      </c>
      <c r="L26" t="str">
        <f t="shared" si="6"/>
        <v>Noise Cancel Headset</v>
      </c>
      <c r="M26" t="str">
        <f t="shared" si="7"/>
        <v>South-Sneha Rao</v>
      </c>
      <c r="N26" t="str">
        <f t="shared" si="8"/>
        <v>South-Retail Store</v>
      </c>
      <c r="O26">
        <f t="shared" si="9"/>
        <v>1025</v>
      </c>
    </row>
    <row r="27" spans="1:15" x14ac:dyDescent="0.35">
      <c r="A27" t="str">
        <f>Sales!A27</f>
        <v>ORD-1026</v>
      </c>
      <c r="B27" t="str">
        <f>Sales!D27</f>
        <v>Sneha Rao</v>
      </c>
      <c r="C27" t="str">
        <f>Sales!G27</f>
        <v>Laptop Pro 14</v>
      </c>
      <c r="D27" t="str">
        <f>Sales!C27</f>
        <v>South</v>
      </c>
      <c r="E27" t="str">
        <f>Sales!E27</f>
        <v>Retail Store</v>
      </c>
      <c r="F27" t="str">
        <f t="shared" si="0"/>
        <v>SNEHA RAO</v>
      </c>
      <c r="G27" t="str">
        <f t="shared" si="1"/>
        <v>sneha rao</v>
      </c>
      <c r="H27" t="str">
        <f t="shared" si="2"/>
        <v>Sneha Rao</v>
      </c>
      <c r="I27" t="str">
        <f t="shared" si="3"/>
        <v>ORD</v>
      </c>
      <c r="J27" t="str">
        <f t="shared" si="4"/>
        <v>1026</v>
      </c>
      <c r="K27">
        <f t="shared" si="5"/>
        <v>13</v>
      </c>
      <c r="L27" t="str">
        <f t="shared" si="6"/>
        <v>Laptop Pro 14</v>
      </c>
      <c r="M27" t="str">
        <f t="shared" si="7"/>
        <v>South-Sneha Rao</v>
      </c>
      <c r="N27" t="str">
        <f t="shared" si="8"/>
        <v>South-Retail Store</v>
      </c>
      <c r="O27">
        <f t="shared" si="9"/>
        <v>1026</v>
      </c>
    </row>
    <row r="28" spans="1:15" x14ac:dyDescent="0.35">
      <c r="A28" t="str">
        <f>Sales!A28</f>
        <v>ORD-1027</v>
      </c>
      <c r="B28" t="str">
        <f>Sales!D28</f>
        <v>Rahul Iyer</v>
      </c>
      <c r="C28" t="str">
        <f>Sales!G28</f>
        <v>Filing Cabinet</v>
      </c>
      <c r="D28" t="str">
        <f>Sales!C28</f>
        <v>South</v>
      </c>
      <c r="E28" t="str">
        <f>Sales!E28</f>
        <v>Retail Store</v>
      </c>
      <c r="F28" t="str">
        <f t="shared" si="0"/>
        <v>RAHUL IYER</v>
      </c>
      <c r="G28" t="str">
        <f t="shared" si="1"/>
        <v>rahul iyer</v>
      </c>
      <c r="H28" t="str">
        <f t="shared" si="2"/>
        <v>Rahul Iyer</v>
      </c>
      <c r="I28" t="str">
        <f t="shared" si="3"/>
        <v>ORD</v>
      </c>
      <c r="J28" t="str">
        <f t="shared" si="4"/>
        <v>1027</v>
      </c>
      <c r="K28">
        <f t="shared" si="5"/>
        <v>14</v>
      </c>
      <c r="L28" t="str">
        <f t="shared" si="6"/>
        <v>Filing Cabinet</v>
      </c>
      <c r="M28" t="str">
        <f t="shared" si="7"/>
        <v>South-Rahul Iyer</v>
      </c>
      <c r="N28" t="str">
        <f t="shared" si="8"/>
        <v>South-Retail Store</v>
      </c>
      <c r="O28">
        <f t="shared" si="9"/>
        <v>1027</v>
      </c>
    </row>
    <row r="29" spans="1:15" x14ac:dyDescent="0.35">
      <c r="A29" t="str">
        <f>Sales!A29</f>
        <v>ORD-1028</v>
      </c>
      <c r="B29" t="str">
        <f>Sales!D29</f>
        <v>Aarav Mehta</v>
      </c>
      <c r="C29" t="str">
        <f>Sales!G29</f>
        <v>Wireless Mouse</v>
      </c>
      <c r="D29" t="str">
        <f>Sales!C29</f>
        <v>North</v>
      </c>
      <c r="E29" t="str">
        <f>Sales!E29</f>
        <v>Online</v>
      </c>
      <c r="F29" t="str">
        <f t="shared" si="0"/>
        <v>AARAV MEHTA</v>
      </c>
      <c r="G29" t="str">
        <f t="shared" si="1"/>
        <v>aarav mehta</v>
      </c>
      <c r="H29" t="str">
        <f t="shared" si="2"/>
        <v>Aarav Mehta</v>
      </c>
      <c r="I29" t="str">
        <f t="shared" si="3"/>
        <v>ORD</v>
      </c>
      <c r="J29" t="str">
        <f t="shared" si="4"/>
        <v>1028</v>
      </c>
      <c r="K29">
        <f t="shared" si="5"/>
        <v>14</v>
      </c>
      <c r="L29" t="str">
        <f t="shared" si="6"/>
        <v>Wireless Mouse</v>
      </c>
      <c r="M29" t="str">
        <f t="shared" si="7"/>
        <v>North-Aarav Mehta</v>
      </c>
      <c r="N29" t="str">
        <f t="shared" si="8"/>
        <v>North-Online</v>
      </c>
      <c r="O29">
        <f t="shared" si="9"/>
        <v>1028</v>
      </c>
    </row>
    <row r="30" spans="1:15" x14ac:dyDescent="0.35">
      <c r="A30" t="str">
        <f>Sales!A30</f>
        <v>ORD-1029</v>
      </c>
      <c r="B30" t="str">
        <f>Sales!D30</f>
        <v>Rahul Iyer</v>
      </c>
      <c r="C30" t="str">
        <f>Sales!G30</f>
        <v>Gel Pen Pack</v>
      </c>
      <c r="D30" t="str">
        <f>Sales!C30</f>
        <v>South</v>
      </c>
      <c r="E30" t="str">
        <f>Sales!E30</f>
        <v>Partner</v>
      </c>
      <c r="F30" t="str">
        <f t="shared" si="0"/>
        <v>RAHUL IYER</v>
      </c>
      <c r="G30" t="str">
        <f t="shared" si="1"/>
        <v>rahul iyer</v>
      </c>
      <c r="H30" t="str">
        <f t="shared" si="2"/>
        <v>Rahul Iyer</v>
      </c>
      <c r="I30" t="str">
        <f t="shared" si="3"/>
        <v>ORD</v>
      </c>
      <c r="J30" t="str">
        <f t="shared" si="4"/>
        <v>1029</v>
      </c>
      <c r="K30">
        <f t="shared" si="5"/>
        <v>12</v>
      </c>
      <c r="L30" t="str">
        <f t="shared" si="6"/>
        <v>Gel Pen Pack</v>
      </c>
      <c r="M30" t="str">
        <f t="shared" si="7"/>
        <v>South-Rahul Iyer</v>
      </c>
      <c r="N30" t="str">
        <f t="shared" si="8"/>
        <v>South-Partner</v>
      </c>
      <c r="O30">
        <f t="shared" si="9"/>
        <v>1029</v>
      </c>
    </row>
    <row r="31" spans="1:15" x14ac:dyDescent="0.35">
      <c r="A31" t="str">
        <f>Sales!A31</f>
        <v>ORD-1030</v>
      </c>
      <c r="B31" t="str">
        <f>Sales!D31</f>
        <v>Rahul Iyer</v>
      </c>
      <c r="C31" t="str">
        <f>Sales!G31</f>
        <v>Filing Cabinet</v>
      </c>
      <c r="D31" t="str">
        <f>Sales!C31</f>
        <v>South</v>
      </c>
      <c r="E31" t="str">
        <f>Sales!E31</f>
        <v>Online</v>
      </c>
      <c r="F31" t="str">
        <f t="shared" si="0"/>
        <v>RAHUL IYER</v>
      </c>
      <c r="G31" t="str">
        <f t="shared" si="1"/>
        <v>rahul iyer</v>
      </c>
      <c r="H31" t="str">
        <f t="shared" si="2"/>
        <v>Rahul Iyer</v>
      </c>
      <c r="I31" t="str">
        <f t="shared" si="3"/>
        <v>ORD</v>
      </c>
      <c r="J31" t="str">
        <f t="shared" si="4"/>
        <v>1030</v>
      </c>
      <c r="K31">
        <f t="shared" si="5"/>
        <v>14</v>
      </c>
      <c r="L31" t="str">
        <f t="shared" si="6"/>
        <v>Filing Cabinet</v>
      </c>
      <c r="M31" t="str">
        <f t="shared" si="7"/>
        <v>South-Rahul Iyer</v>
      </c>
      <c r="N31" t="str">
        <f t="shared" si="8"/>
        <v>South-Online</v>
      </c>
      <c r="O31">
        <f t="shared" si="9"/>
        <v>1030</v>
      </c>
    </row>
    <row r="32" spans="1:15" x14ac:dyDescent="0.35">
      <c r="A32" t="str">
        <f>Sales!A32</f>
        <v>ORD-1031</v>
      </c>
      <c r="B32" t="str">
        <f>Sales!D32</f>
        <v>Ananya Joshi</v>
      </c>
      <c r="C32" t="str">
        <f>Sales!G32</f>
        <v>A4 Paper Ream</v>
      </c>
      <c r="D32" t="str">
        <f>Sales!C32</f>
        <v>West</v>
      </c>
      <c r="E32" t="str">
        <f>Sales!E32</f>
        <v>Partner</v>
      </c>
      <c r="F32" t="str">
        <f t="shared" si="0"/>
        <v>ANANYA JOSHI</v>
      </c>
      <c r="G32" t="str">
        <f t="shared" si="1"/>
        <v>ananya joshi</v>
      </c>
      <c r="H32" t="str">
        <f t="shared" si="2"/>
        <v>Ananya Joshi</v>
      </c>
      <c r="I32" t="str">
        <f t="shared" si="3"/>
        <v>ORD</v>
      </c>
      <c r="J32" t="str">
        <f t="shared" si="4"/>
        <v>1031</v>
      </c>
      <c r="K32">
        <f t="shared" si="5"/>
        <v>13</v>
      </c>
      <c r="L32" t="str">
        <f t="shared" si="6"/>
        <v>A4 Paper Ream</v>
      </c>
      <c r="M32" t="str">
        <f t="shared" si="7"/>
        <v>West-Ananya Joshi</v>
      </c>
      <c r="N32" t="str">
        <f t="shared" si="8"/>
        <v>West-Partner</v>
      </c>
      <c r="O32">
        <f t="shared" si="9"/>
        <v>1031</v>
      </c>
    </row>
    <row r="33" spans="1:15" x14ac:dyDescent="0.35">
      <c r="A33" t="str">
        <f>Sales!A33</f>
        <v>ORD-1032</v>
      </c>
      <c r="B33" t="str">
        <f>Sales!D33</f>
        <v>Vikram Shah</v>
      </c>
      <c r="C33" t="str">
        <f>Sales!G33</f>
        <v>Filing Cabinet</v>
      </c>
      <c r="D33" t="str">
        <f>Sales!C33</f>
        <v>West</v>
      </c>
      <c r="E33" t="str">
        <f>Sales!E33</f>
        <v>Online</v>
      </c>
      <c r="F33" t="str">
        <f t="shared" si="0"/>
        <v>VIKRAM SHAH</v>
      </c>
      <c r="G33" t="str">
        <f t="shared" si="1"/>
        <v>vikram shah</v>
      </c>
      <c r="H33" t="str">
        <f t="shared" si="2"/>
        <v>Vikram Shah</v>
      </c>
      <c r="I33" t="str">
        <f t="shared" si="3"/>
        <v>ORD</v>
      </c>
      <c r="J33" t="str">
        <f t="shared" si="4"/>
        <v>1032</v>
      </c>
      <c r="K33">
        <f t="shared" si="5"/>
        <v>14</v>
      </c>
      <c r="L33" t="str">
        <f t="shared" si="6"/>
        <v>Filing Cabinet</v>
      </c>
      <c r="M33" t="str">
        <f t="shared" si="7"/>
        <v>West-Vikram Shah</v>
      </c>
      <c r="N33" t="str">
        <f t="shared" si="8"/>
        <v>West-Online</v>
      </c>
      <c r="O33">
        <f t="shared" si="9"/>
        <v>1032</v>
      </c>
    </row>
    <row r="34" spans="1:15" x14ac:dyDescent="0.35">
      <c r="A34" t="str">
        <f>Sales!A34</f>
        <v>ORD-1033</v>
      </c>
      <c r="B34" t="str">
        <f>Sales!D34</f>
        <v>Sneha Rao</v>
      </c>
      <c r="C34" t="str">
        <f>Sales!G34</f>
        <v>Standing Desk</v>
      </c>
      <c r="D34" t="str">
        <f>Sales!C34</f>
        <v>South</v>
      </c>
      <c r="E34" t="str">
        <f>Sales!E34</f>
        <v>Partner</v>
      </c>
      <c r="F34" t="str">
        <f t="shared" ref="F34:F65" si="10">UPPER(B34)</f>
        <v>SNEHA RAO</v>
      </c>
      <c r="G34" t="str">
        <f t="shared" ref="G34:G65" si="11">LOWER(B34)</f>
        <v>sneha rao</v>
      </c>
      <c r="H34" t="str">
        <f t="shared" ref="H34:H65" si="12">PROPER(B34)</f>
        <v>Sneha Rao</v>
      </c>
      <c r="I34" t="str">
        <f t="shared" ref="I34:I65" si="13">LEFT(A34,3)</f>
        <v>ORD</v>
      </c>
      <c r="J34" t="str">
        <f t="shared" ref="J34:J65" si="14">RIGHT(A34,4)</f>
        <v>1033</v>
      </c>
      <c r="K34">
        <f t="shared" ref="K34:K65" si="15">LEN(C34)</f>
        <v>13</v>
      </c>
      <c r="L34" t="str">
        <f t="shared" ref="L34:L65" si="16">TRIM(C34)</f>
        <v>Standing Desk</v>
      </c>
      <c r="M34" t="str">
        <f t="shared" ref="M34:M65" si="17">D34&amp;"-"&amp;B34</f>
        <v>South-Sneha Rao</v>
      </c>
      <c r="N34" t="str">
        <f t="shared" ref="N34:N65" si="18">D34&amp;"-"&amp;E34</f>
        <v>South-Partner</v>
      </c>
      <c r="O34">
        <f t="shared" ref="O34:O65" si="19">VALUE(MID(A34,FIND("-",A34)+1,LEN(A34)))</f>
        <v>1033</v>
      </c>
    </row>
    <row r="35" spans="1:15" x14ac:dyDescent="0.35">
      <c r="A35" t="str">
        <f>Sales!A35</f>
        <v>ORD-1034</v>
      </c>
      <c r="B35" t="str">
        <f>Sales!D35</f>
        <v>Kabir Das</v>
      </c>
      <c r="C35" t="str">
        <f>Sales!G35</f>
        <v>Notebook Set</v>
      </c>
      <c r="D35" t="str">
        <f>Sales!C35</f>
        <v>East</v>
      </c>
      <c r="E35" t="str">
        <f>Sales!E35</f>
        <v>Partner</v>
      </c>
      <c r="F35" t="str">
        <f t="shared" si="10"/>
        <v>KABIR DAS</v>
      </c>
      <c r="G35" t="str">
        <f t="shared" si="11"/>
        <v>kabir das</v>
      </c>
      <c r="H35" t="str">
        <f t="shared" si="12"/>
        <v>Kabir Das</v>
      </c>
      <c r="I35" t="str">
        <f t="shared" si="13"/>
        <v>ORD</v>
      </c>
      <c r="J35" t="str">
        <f t="shared" si="14"/>
        <v>1034</v>
      </c>
      <c r="K35">
        <f t="shared" si="15"/>
        <v>12</v>
      </c>
      <c r="L35" t="str">
        <f t="shared" si="16"/>
        <v>Notebook Set</v>
      </c>
      <c r="M35" t="str">
        <f t="shared" si="17"/>
        <v>East-Kabir Das</v>
      </c>
      <c r="N35" t="str">
        <f t="shared" si="18"/>
        <v>East-Partner</v>
      </c>
      <c r="O35">
        <f t="shared" si="19"/>
        <v>1034</v>
      </c>
    </row>
    <row r="36" spans="1:15" x14ac:dyDescent="0.35">
      <c r="A36" t="str">
        <f>Sales!A36</f>
        <v>ORD-1035</v>
      </c>
      <c r="B36" t="str">
        <f>Sales!D36</f>
        <v>Meera Sen</v>
      </c>
      <c r="C36" t="str">
        <f>Sales!G36</f>
        <v>Office Chair</v>
      </c>
      <c r="D36" t="str">
        <f>Sales!C36</f>
        <v>East</v>
      </c>
      <c r="E36" t="str">
        <f>Sales!E36</f>
        <v>Retail Store</v>
      </c>
      <c r="F36" t="str">
        <f t="shared" si="10"/>
        <v>MEERA SEN</v>
      </c>
      <c r="G36" t="str">
        <f t="shared" si="11"/>
        <v>meera sen</v>
      </c>
      <c r="H36" t="str">
        <f t="shared" si="12"/>
        <v>Meera Sen</v>
      </c>
      <c r="I36" t="str">
        <f t="shared" si="13"/>
        <v>ORD</v>
      </c>
      <c r="J36" t="str">
        <f t="shared" si="14"/>
        <v>1035</v>
      </c>
      <c r="K36">
        <f t="shared" si="15"/>
        <v>12</v>
      </c>
      <c r="L36" t="str">
        <f t="shared" si="16"/>
        <v>Office Chair</v>
      </c>
      <c r="M36" t="str">
        <f t="shared" si="17"/>
        <v>East-Meera Sen</v>
      </c>
      <c r="N36" t="str">
        <f t="shared" si="18"/>
        <v>East-Retail Store</v>
      </c>
      <c r="O36">
        <f t="shared" si="19"/>
        <v>1035</v>
      </c>
    </row>
    <row r="37" spans="1:15" x14ac:dyDescent="0.35">
      <c r="A37" t="str">
        <f>Sales!A37</f>
        <v>ORD-1036</v>
      </c>
      <c r="B37" t="str">
        <f>Sales!D37</f>
        <v>Sneha Rao</v>
      </c>
      <c r="C37" t="str">
        <f>Sales!G37</f>
        <v>Wireless Mouse</v>
      </c>
      <c r="D37" t="str">
        <f>Sales!C37</f>
        <v>South</v>
      </c>
      <c r="E37" t="str">
        <f>Sales!E37</f>
        <v>Partner</v>
      </c>
      <c r="F37" t="str">
        <f t="shared" si="10"/>
        <v>SNEHA RAO</v>
      </c>
      <c r="G37" t="str">
        <f t="shared" si="11"/>
        <v>sneha rao</v>
      </c>
      <c r="H37" t="str">
        <f t="shared" si="12"/>
        <v>Sneha Rao</v>
      </c>
      <c r="I37" t="str">
        <f t="shared" si="13"/>
        <v>ORD</v>
      </c>
      <c r="J37" t="str">
        <f t="shared" si="14"/>
        <v>1036</v>
      </c>
      <c r="K37">
        <f t="shared" si="15"/>
        <v>14</v>
      </c>
      <c r="L37" t="str">
        <f t="shared" si="16"/>
        <v>Wireless Mouse</v>
      </c>
      <c r="M37" t="str">
        <f t="shared" si="17"/>
        <v>South-Sneha Rao</v>
      </c>
      <c r="N37" t="str">
        <f t="shared" si="18"/>
        <v>South-Partner</v>
      </c>
      <c r="O37">
        <f t="shared" si="19"/>
        <v>1036</v>
      </c>
    </row>
    <row r="38" spans="1:15" x14ac:dyDescent="0.35">
      <c r="A38" t="str">
        <f>Sales!A38</f>
        <v>ORD-1037</v>
      </c>
      <c r="B38" t="str">
        <f>Sales!D38</f>
        <v>Ananya Joshi</v>
      </c>
      <c r="C38" t="str">
        <f>Sales!G38</f>
        <v>Laptop Pro 14</v>
      </c>
      <c r="D38" t="str">
        <f>Sales!C38</f>
        <v>West</v>
      </c>
      <c r="E38" t="str">
        <f>Sales!E38</f>
        <v>Online</v>
      </c>
      <c r="F38" t="str">
        <f t="shared" si="10"/>
        <v>ANANYA JOSHI</v>
      </c>
      <c r="G38" t="str">
        <f t="shared" si="11"/>
        <v>ananya joshi</v>
      </c>
      <c r="H38" t="str">
        <f t="shared" si="12"/>
        <v>Ananya Joshi</v>
      </c>
      <c r="I38" t="str">
        <f t="shared" si="13"/>
        <v>ORD</v>
      </c>
      <c r="J38" t="str">
        <f t="shared" si="14"/>
        <v>1037</v>
      </c>
      <c r="K38">
        <f t="shared" si="15"/>
        <v>13</v>
      </c>
      <c r="L38" t="str">
        <f t="shared" si="16"/>
        <v>Laptop Pro 14</v>
      </c>
      <c r="M38" t="str">
        <f t="shared" si="17"/>
        <v>West-Ananya Joshi</v>
      </c>
      <c r="N38" t="str">
        <f t="shared" si="18"/>
        <v>West-Online</v>
      </c>
      <c r="O38">
        <f t="shared" si="19"/>
        <v>1037</v>
      </c>
    </row>
    <row r="39" spans="1:15" x14ac:dyDescent="0.35">
      <c r="A39" t="str">
        <f>Sales!A39</f>
        <v>ORD-1038</v>
      </c>
      <c r="B39" t="str">
        <f>Sales!D39</f>
        <v>Aarav Mehta</v>
      </c>
      <c r="C39" t="str">
        <f>Sales!G39</f>
        <v>Notebook Set</v>
      </c>
      <c r="D39" t="str">
        <f>Sales!C39</f>
        <v>North</v>
      </c>
      <c r="E39" t="str">
        <f>Sales!E39</f>
        <v>Online</v>
      </c>
      <c r="F39" t="str">
        <f t="shared" si="10"/>
        <v>AARAV MEHTA</v>
      </c>
      <c r="G39" t="str">
        <f t="shared" si="11"/>
        <v>aarav mehta</v>
      </c>
      <c r="H39" t="str">
        <f t="shared" si="12"/>
        <v>Aarav Mehta</v>
      </c>
      <c r="I39" t="str">
        <f t="shared" si="13"/>
        <v>ORD</v>
      </c>
      <c r="J39" t="str">
        <f t="shared" si="14"/>
        <v>1038</v>
      </c>
      <c r="K39">
        <f t="shared" si="15"/>
        <v>12</v>
      </c>
      <c r="L39" t="str">
        <f t="shared" si="16"/>
        <v>Notebook Set</v>
      </c>
      <c r="M39" t="str">
        <f t="shared" si="17"/>
        <v>North-Aarav Mehta</v>
      </c>
      <c r="N39" t="str">
        <f t="shared" si="18"/>
        <v>North-Online</v>
      </c>
      <c r="O39">
        <f t="shared" si="19"/>
        <v>1038</v>
      </c>
    </row>
    <row r="40" spans="1:15" x14ac:dyDescent="0.35">
      <c r="A40" t="str">
        <f>Sales!A40</f>
        <v>ORD-1039</v>
      </c>
      <c r="B40" t="str">
        <f>Sales!D40</f>
        <v>Kabir Das</v>
      </c>
      <c r="C40" t="str">
        <f>Sales!G40</f>
        <v>Noise Cancel Headset</v>
      </c>
      <c r="D40" t="str">
        <f>Sales!C40</f>
        <v>East</v>
      </c>
      <c r="E40" t="str">
        <f>Sales!E40</f>
        <v>Partner</v>
      </c>
      <c r="F40" t="str">
        <f t="shared" si="10"/>
        <v>KABIR DAS</v>
      </c>
      <c r="G40" t="str">
        <f t="shared" si="11"/>
        <v>kabir das</v>
      </c>
      <c r="H40" t="str">
        <f t="shared" si="12"/>
        <v>Kabir Das</v>
      </c>
      <c r="I40" t="str">
        <f t="shared" si="13"/>
        <v>ORD</v>
      </c>
      <c r="J40" t="str">
        <f t="shared" si="14"/>
        <v>1039</v>
      </c>
      <c r="K40">
        <f t="shared" si="15"/>
        <v>20</v>
      </c>
      <c r="L40" t="str">
        <f t="shared" si="16"/>
        <v>Noise Cancel Headset</v>
      </c>
      <c r="M40" t="str">
        <f t="shared" si="17"/>
        <v>East-Kabir Das</v>
      </c>
      <c r="N40" t="str">
        <f t="shared" si="18"/>
        <v>East-Partner</v>
      </c>
      <c r="O40">
        <f t="shared" si="19"/>
        <v>1039</v>
      </c>
    </row>
    <row r="41" spans="1:15" x14ac:dyDescent="0.35">
      <c r="A41" t="str">
        <f>Sales!A41</f>
        <v>ORD-1040</v>
      </c>
      <c r="B41" t="str">
        <f>Sales!D41</f>
        <v>Aarav Mehta</v>
      </c>
      <c r="C41" t="str">
        <f>Sales!G41</f>
        <v>Noise Cancel Headset</v>
      </c>
      <c r="D41" t="str">
        <f>Sales!C41</f>
        <v>North</v>
      </c>
      <c r="E41" t="str">
        <f>Sales!E41</f>
        <v>Online</v>
      </c>
      <c r="F41" t="str">
        <f t="shared" si="10"/>
        <v>AARAV MEHTA</v>
      </c>
      <c r="G41" t="str">
        <f t="shared" si="11"/>
        <v>aarav mehta</v>
      </c>
      <c r="H41" t="str">
        <f t="shared" si="12"/>
        <v>Aarav Mehta</v>
      </c>
      <c r="I41" t="str">
        <f t="shared" si="13"/>
        <v>ORD</v>
      </c>
      <c r="J41" t="str">
        <f t="shared" si="14"/>
        <v>1040</v>
      </c>
      <c r="K41">
        <f t="shared" si="15"/>
        <v>20</v>
      </c>
      <c r="L41" t="str">
        <f t="shared" si="16"/>
        <v>Noise Cancel Headset</v>
      </c>
      <c r="M41" t="str">
        <f t="shared" si="17"/>
        <v>North-Aarav Mehta</v>
      </c>
      <c r="N41" t="str">
        <f t="shared" si="18"/>
        <v>North-Online</v>
      </c>
      <c r="O41">
        <f t="shared" si="19"/>
        <v>1040</v>
      </c>
    </row>
    <row r="42" spans="1:15" x14ac:dyDescent="0.35">
      <c r="A42" t="str">
        <f>Sales!A42</f>
        <v>ORD-1041</v>
      </c>
      <c r="B42" t="str">
        <f>Sales!D42</f>
        <v>Ananya Joshi</v>
      </c>
      <c r="C42" t="str">
        <f>Sales!G42</f>
        <v>Notebook Set</v>
      </c>
      <c r="D42" t="str">
        <f>Sales!C42</f>
        <v>West</v>
      </c>
      <c r="E42" t="str">
        <f>Sales!E42</f>
        <v>Partner</v>
      </c>
      <c r="F42" t="str">
        <f t="shared" si="10"/>
        <v>ANANYA JOSHI</v>
      </c>
      <c r="G42" t="str">
        <f t="shared" si="11"/>
        <v>ananya joshi</v>
      </c>
      <c r="H42" t="str">
        <f t="shared" si="12"/>
        <v>Ananya Joshi</v>
      </c>
      <c r="I42" t="str">
        <f t="shared" si="13"/>
        <v>ORD</v>
      </c>
      <c r="J42" t="str">
        <f t="shared" si="14"/>
        <v>1041</v>
      </c>
      <c r="K42">
        <f t="shared" si="15"/>
        <v>12</v>
      </c>
      <c r="L42" t="str">
        <f t="shared" si="16"/>
        <v>Notebook Set</v>
      </c>
      <c r="M42" t="str">
        <f t="shared" si="17"/>
        <v>West-Ananya Joshi</v>
      </c>
      <c r="N42" t="str">
        <f t="shared" si="18"/>
        <v>West-Partner</v>
      </c>
      <c r="O42">
        <f t="shared" si="19"/>
        <v>1041</v>
      </c>
    </row>
    <row r="43" spans="1:15" x14ac:dyDescent="0.35">
      <c r="A43" t="str">
        <f>Sales!A43</f>
        <v>ORD-1042</v>
      </c>
      <c r="B43" t="str">
        <f>Sales!D43</f>
        <v>Vikram Shah</v>
      </c>
      <c r="C43" t="str">
        <f>Sales!G43</f>
        <v>Office Chair</v>
      </c>
      <c r="D43" t="str">
        <f>Sales!C43</f>
        <v>West</v>
      </c>
      <c r="E43" t="str">
        <f>Sales!E43</f>
        <v>Online</v>
      </c>
      <c r="F43" t="str">
        <f t="shared" si="10"/>
        <v>VIKRAM SHAH</v>
      </c>
      <c r="G43" t="str">
        <f t="shared" si="11"/>
        <v>vikram shah</v>
      </c>
      <c r="H43" t="str">
        <f t="shared" si="12"/>
        <v>Vikram Shah</v>
      </c>
      <c r="I43" t="str">
        <f t="shared" si="13"/>
        <v>ORD</v>
      </c>
      <c r="J43" t="str">
        <f t="shared" si="14"/>
        <v>1042</v>
      </c>
      <c r="K43">
        <f t="shared" si="15"/>
        <v>12</v>
      </c>
      <c r="L43" t="str">
        <f t="shared" si="16"/>
        <v>Office Chair</v>
      </c>
      <c r="M43" t="str">
        <f t="shared" si="17"/>
        <v>West-Vikram Shah</v>
      </c>
      <c r="N43" t="str">
        <f t="shared" si="18"/>
        <v>West-Online</v>
      </c>
      <c r="O43">
        <f t="shared" si="19"/>
        <v>1042</v>
      </c>
    </row>
    <row r="44" spans="1:15" x14ac:dyDescent="0.35">
      <c r="A44" t="str">
        <f>Sales!A44</f>
        <v>ORD-1043</v>
      </c>
      <c r="B44" t="str">
        <f>Sales!D44</f>
        <v>Sneha Rao</v>
      </c>
      <c r="C44" t="str">
        <f>Sales!G44</f>
        <v>Office Chair</v>
      </c>
      <c r="D44" t="str">
        <f>Sales!C44</f>
        <v>South</v>
      </c>
      <c r="E44" t="str">
        <f>Sales!E44</f>
        <v>Online</v>
      </c>
      <c r="F44" t="str">
        <f t="shared" si="10"/>
        <v>SNEHA RAO</v>
      </c>
      <c r="G44" t="str">
        <f t="shared" si="11"/>
        <v>sneha rao</v>
      </c>
      <c r="H44" t="str">
        <f t="shared" si="12"/>
        <v>Sneha Rao</v>
      </c>
      <c r="I44" t="str">
        <f t="shared" si="13"/>
        <v>ORD</v>
      </c>
      <c r="J44" t="str">
        <f t="shared" si="14"/>
        <v>1043</v>
      </c>
      <c r="K44">
        <f t="shared" si="15"/>
        <v>12</v>
      </c>
      <c r="L44" t="str">
        <f t="shared" si="16"/>
        <v>Office Chair</v>
      </c>
      <c r="M44" t="str">
        <f t="shared" si="17"/>
        <v>South-Sneha Rao</v>
      </c>
      <c r="N44" t="str">
        <f t="shared" si="18"/>
        <v>South-Online</v>
      </c>
      <c r="O44">
        <f t="shared" si="19"/>
        <v>1043</v>
      </c>
    </row>
    <row r="45" spans="1:15" x14ac:dyDescent="0.35">
      <c r="A45" t="str">
        <f>Sales!A45</f>
        <v>ORD-1044</v>
      </c>
      <c r="B45" t="str">
        <f>Sales!D45</f>
        <v>Aarav Mehta</v>
      </c>
      <c r="C45" t="str">
        <f>Sales!G45</f>
        <v>Notebook Set</v>
      </c>
      <c r="D45" t="str">
        <f>Sales!C45</f>
        <v>North</v>
      </c>
      <c r="E45" t="str">
        <f>Sales!E45</f>
        <v>Online</v>
      </c>
      <c r="F45" t="str">
        <f t="shared" si="10"/>
        <v>AARAV MEHTA</v>
      </c>
      <c r="G45" t="str">
        <f t="shared" si="11"/>
        <v>aarav mehta</v>
      </c>
      <c r="H45" t="str">
        <f t="shared" si="12"/>
        <v>Aarav Mehta</v>
      </c>
      <c r="I45" t="str">
        <f t="shared" si="13"/>
        <v>ORD</v>
      </c>
      <c r="J45" t="str">
        <f t="shared" si="14"/>
        <v>1044</v>
      </c>
      <c r="K45">
        <f t="shared" si="15"/>
        <v>12</v>
      </c>
      <c r="L45" t="str">
        <f t="shared" si="16"/>
        <v>Notebook Set</v>
      </c>
      <c r="M45" t="str">
        <f t="shared" si="17"/>
        <v>North-Aarav Mehta</v>
      </c>
      <c r="N45" t="str">
        <f t="shared" si="18"/>
        <v>North-Online</v>
      </c>
      <c r="O45">
        <f t="shared" si="19"/>
        <v>1044</v>
      </c>
    </row>
    <row r="46" spans="1:15" x14ac:dyDescent="0.35">
      <c r="A46" t="str">
        <f>Sales!A46</f>
        <v>ORD-1045</v>
      </c>
      <c r="B46" t="str">
        <f>Sales!D46</f>
        <v>Kabir Das</v>
      </c>
      <c r="C46" t="str">
        <f>Sales!G46</f>
        <v>Wireless Mouse</v>
      </c>
      <c r="D46" t="str">
        <f>Sales!C46</f>
        <v>East</v>
      </c>
      <c r="E46" t="str">
        <f>Sales!E46</f>
        <v>Partner</v>
      </c>
      <c r="F46" t="str">
        <f t="shared" si="10"/>
        <v>KABIR DAS</v>
      </c>
      <c r="G46" t="str">
        <f t="shared" si="11"/>
        <v>kabir das</v>
      </c>
      <c r="H46" t="str">
        <f t="shared" si="12"/>
        <v>Kabir Das</v>
      </c>
      <c r="I46" t="str">
        <f t="shared" si="13"/>
        <v>ORD</v>
      </c>
      <c r="J46" t="str">
        <f t="shared" si="14"/>
        <v>1045</v>
      </c>
      <c r="K46">
        <f t="shared" si="15"/>
        <v>14</v>
      </c>
      <c r="L46" t="str">
        <f t="shared" si="16"/>
        <v>Wireless Mouse</v>
      </c>
      <c r="M46" t="str">
        <f t="shared" si="17"/>
        <v>East-Kabir Das</v>
      </c>
      <c r="N46" t="str">
        <f t="shared" si="18"/>
        <v>East-Partner</v>
      </c>
      <c r="O46">
        <f t="shared" si="19"/>
        <v>1045</v>
      </c>
    </row>
    <row r="47" spans="1:15" x14ac:dyDescent="0.35">
      <c r="A47" t="str">
        <f>Sales!A47</f>
        <v>ORD-1046</v>
      </c>
      <c r="B47" t="str">
        <f>Sales!D47</f>
        <v>Priya Nair</v>
      </c>
      <c r="C47" t="str">
        <f>Sales!G47</f>
        <v>Filing Cabinet</v>
      </c>
      <c r="D47" t="str">
        <f>Sales!C47</f>
        <v>North</v>
      </c>
      <c r="E47" t="str">
        <f>Sales!E47</f>
        <v>Retail Store</v>
      </c>
      <c r="F47" t="str">
        <f t="shared" si="10"/>
        <v>PRIYA NAIR</v>
      </c>
      <c r="G47" t="str">
        <f t="shared" si="11"/>
        <v>priya nair</v>
      </c>
      <c r="H47" t="str">
        <f t="shared" si="12"/>
        <v>Priya Nair</v>
      </c>
      <c r="I47" t="str">
        <f t="shared" si="13"/>
        <v>ORD</v>
      </c>
      <c r="J47" t="str">
        <f t="shared" si="14"/>
        <v>1046</v>
      </c>
      <c r="K47">
        <f t="shared" si="15"/>
        <v>14</v>
      </c>
      <c r="L47" t="str">
        <f t="shared" si="16"/>
        <v>Filing Cabinet</v>
      </c>
      <c r="M47" t="str">
        <f t="shared" si="17"/>
        <v>North-Priya Nair</v>
      </c>
      <c r="N47" t="str">
        <f t="shared" si="18"/>
        <v>North-Retail Store</v>
      </c>
      <c r="O47">
        <f t="shared" si="19"/>
        <v>1046</v>
      </c>
    </row>
    <row r="48" spans="1:15" x14ac:dyDescent="0.35">
      <c r="A48" t="str">
        <f>Sales!A48</f>
        <v>ORD-1047</v>
      </c>
      <c r="B48" t="str">
        <f>Sales!D48</f>
        <v>Kabir Das</v>
      </c>
      <c r="C48" t="str">
        <f>Sales!G48</f>
        <v>Noise Cancel Headset</v>
      </c>
      <c r="D48" t="str">
        <f>Sales!C48</f>
        <v>East</v>
      </c>
      <c r="E48" t="str">
        <f>Sales!E48</f>
        <v>Online</v>
      </c>
      <c r="F48" t="str">
        <f t="shared" si="10"/>
        <v>KABIR DAS</v>
      </c>
      <c r="G48" t="str">
        <f t="shared" si="11"/>
        <v>kabir das</v>
      </c>
      <c r="H48" t="str">
        <f t="shared" si="12"/>
        <v>Kabir Das</v>
      </c>
      <c r="I48" t="str">
        <f t="shared" si="13"/>
        <v>ORD</v>
      </c>
      <c r="J48" t="str">
        <f t="shared" si="14"/>
        <v>1047</v>
      </c>
      <c r="K48">
        <f t="shared" si="15"/>
        <v>20</v>
      </c>
      <c r="L48" t="str">
        <f t="shared" si="16"/>
        <v>Noise Cancel Headset</v>
      </c>
      <c r="M48" t="str">
        <f t="shared" si="17"/>
        <v>East-Kabir Das</v>
      </c>
      <c r="N48" t="str">
        <f t="shared" si="18"/>
        <v>East-Online</v>
      </c>
      <c r="O48">
        <f t="shared" si="19"/>
        <v>1047</v>
      </c>
    </row>
    <row r="49" spans="1:15" x14ac:dyDescent="0.35">
      <c r="A49" t="str">
        <f>Sales!A49</f>
        <v>ORD-1048</v>
      </c>
      <c r="B49" t="str">
        <f>Sales!D49</f>
        <v>Aarav Mehta</v>
      </c>
      <c r="C49" t="str">
        <f>Sales!G49</f>
        <v>Noise Cancel Headset</v>
      </c>
      <c r="D49" t="str">
        <f>Sales!C49</f>
        <v>North</v>
      </c>
      <c r="E49" t="str">
        <f>Sales!E49</f>
        <v>Online</v>
      </c>
      <c r="F49" t="str">
        <f t="shared" si="10"/>
        <v>AARAV MEHTA</v>
      </c>
      <c r="G49" t="str">
        <f t="shared" si="11"/>
        <v>aarav mehta</v>
      </c>
      <c r="H49" t="str">
        <f t="shared" si="12"/>
        <v>Aarav Mehta</v>
      </c>
      <c r="I49" t="str">
        <f t="shared" si="13"/>
        <v>ORD</v>
      </c>
      <c r="J49" t="str">
        <f t="shared" si="14"/>
        <v>1048</v>
      </c>
      <c r="K49">
        <f t="shared" si="15"/>
        <v>20</v>
      </c>
      <c r="L49" t="str">
        <f t="shared" si="16"/>
        <v>Noise Cancel Headset</v>
      </c>
      <c r="M49" t="str">
        <f t="shared" si="17"/>
        <v>North-Aarav Mehta</v>
      </c>
      <c r="N49" t="str">
        <f t="shared" si="18"/>
        <v>North-Online</v>
      </c>
      <c r="O49">
        <f t="shared" si="19"/>
        <v>1048</v>
      </c>
    </row>
    <row r="50" spans="1:15" x14ac:dyDescent="0.35">
      <c r="A50" t="str">
        <f>Sales!A50</f>
        <v>ORD-1049</v>
      </c>
      <c r="B50" t="str">
        <f>Sales!D50</f>
        <v>Ananya Joshi</v>
      </c>
      <c r="C50" t="str">
        <f>Sales!G50</f>
        <v>Standing Desk</v>
      </c>
      <c r="D50" t="str">
        <f>Sales!C50</f>
        <v>West</v>
      </c>
      <c r="E50" t="str">
        <f>Sales!E50</f>
        <v>Partner</v>
      </c>
      <c r="F50" t="str">
        <f t="shared" si="10"/>
        <v>ANANYA JOSHI</v>
      </c>
      <c r="G50" t="str">
        <f t="shared" si="11"/>
        <v>ananya joshi</v>
      </c>
      <c r="H50" t="str">
        <f t="shared" si="12"/>
        <v>Ananya Joshi</v>
      </c>
      <c r="I50" t="str">
        <f t="shared" si="13"/>
        <v>ORD</v>
      </c>
      <c r="J50" t="str">
        <f t="shared" si="14"/>
        <v>1049</v>
      </c>
      <c r="K50">
        <f t="shared" si="15"/>
        <v>13</v>
      </c>
      <c r="L50" t="str">
        <f t="shared" si="16"/>
        <v>Standing Desk</v>
      </c>
      <c r="M50" t="str">
        <f t="shared" si="17"/>
        <v>West-Ananya Joshi</v>
      </c>
      <c r="N50" t="str">
        <f t="shared" si="18"/>
        <v>West-Partner</v>
      </c>
      <c r="O50">
        <f t="shared" si="19"/>
        <v>1049</v>
      </c>
    </row>
    <row r="51" spans="1:15" x14ac:dyDescent="0.35">
      <c r="A51" t="str">
        <f>Sales!A51</f>
        <v>ORD-1050</v>
      </c>
      <c r="B51" t="str">
        <f>Sales!D51</f>
        <v>Kabir Das</v>
      </c>
      <c r="C51" t="str">
        <f>Sales!G51</f>
        <v>Laptop Pro 14</v>
      </c>
      <c r="D51" t="str">
        <f>Sales!C51</f>
        <v>East</v>
      </c>
      <c r="E51" t="str">
        <f>Sales!E51</f>
        <v>Partner</v>
      </c>
      <c r="F51" t="str">
        <f t="shared" si="10"/>
        <v>KABIR DAS</v>
      </c>
      <c r="G51" t="str">
        <f t="shared" si="11"/>
        <v>kabir das</v>
      </c>
      <c r="H51" t="str">
        <f t="shared" si="12"/>
        <v>Kabir Das</v>
      </c>
      <c r="I51" t="str">
        <f t="shared" si="13"/>
        <v>ORD</v>
      </c>
      <c r="J51" t="str">
        <f t="shared" si="14"/>
        <v>1050</v>
      </c>
      <c r="K51">
        <f t="shared" si="15"/>
        <v>13</v>
      </c>
      <c r="L51" t="str">
        <f t="shared" si="16"/>
        <v>Laptop Pro 14</v>
      </c>
      <c r="M51" t="str">
        <f t="shared" si="17"/>
        <v>East-Kabir Das</v>
      </c>
      <c r="N51" t="str">
        <f t="shared" si="18"/>
        <v>East-Partner</v>
      </c>
      <c r="O51">
        <f t="shared" si="19"/>
        <v>1050</v>
      </c>
    </row>
    <row r="52" spans="1:15" x14ac:dyDescent="0.35">
      <c r="A52" t="str">
        <f>Sales!A52</f>
        <v>ORD-1051</v>
      </c>
      <c r="B52" t="str">
        <f>Sales!D52</f>
        <v>Sneha Rao</v>
      </c>
      <c r="C52" t="str">
        <f>Sales!G52</f>
        <v>Filing Cabinet</v>
      </c>
      <c r="D52" t="str">
        <f>Sales!C52</f>
        <v>South</v>
      </c>
      <c r="E52" t="str">
        <f>Sales!E52</f>
        <v>Partner</v>
      </c>
      <c r="F52" t="str">
        <f t="shared" si="10"/>
        <v>SNEHA RAO</v>
      </c>
      <c r="G52" t="str">
        <f t="shared" si="11"/>
        <v>sneha rao</v>
      </c>
      <c r="H52" t="str">
        <f t="shared" si="12"/>
        <v>Sneha Rao</v>
      </c>
      <c r="I52" t="str">
        <f t="shared" si="13"/>
        <v>ORD</v>
      </c>
      <c r="J52" t="str">
        <f t="shared" si="14"/>
        <v>1051</v>
      </c>
      <c r="K52">
        <f t="shared" si="15"/>
        <v>14</v>
      </c>
      <c r="L52" t="str">
        <f t="shared" si="16"/>
        <v>Filing Cabinet</v>
      </c>
      <c r="M52" t="str">
        <f t="shared" si="17"/>
        <v>South-Sneha Rao</v>
      </c>
      <c r="N52" t="str">
        <f t="shared" si="18"/>
        <v>South-Partner</v>
      </c>
      <c r="O52">
        <f t="shared" si="19"/>
        <v>1051</v>
      </c>
    </row>
    <row r="53" spans="1:15" x14ac:dyDescent="0.35">
      <c r="A53" t="str">
        <f>Sales!A53</f>
        <v>ORD-1052</v>
      </c>
      <c r="B53" t="str">
        <f>Sales!D53</f>
        <v>Sneha Rao</v>
      </c>
      <c r="C53" t="str">
        <f>Sales!G53</f>
        <v>Laptop Pro 14</v>
      </c>
      <c r="D53" t="str">
        <f>Sales!C53</f>
        <v>South</v>
      </c>
      <c r="E53" t="str">
        <f>Sales!E53</f>
        <v>Retail Store</v>
      </c>
      <c r="F53" t="str">
        <f t="shared" si="10"/>
        <v>SNEHA RAO</v>
      </c>
      <c r="G53" t="str">
        <f t="shared" si="11"/>
        <v>sneha rao</v>
      </c>
      <c r="H53" t="str">
        <f t="shared" si="12"/>
        <v>Sneha Rao</v>
      </c>
      <c r="I53" t="str">
        <f t="shared" si="13"/>
        <v>ORD</v>
      </c>
      <c r="J53" t="str">
        <f t="shared" si="14"/>
        <v>1052</v>
      </c>
      <c r="K53">
        <f t="shared" si="15"/>
        <v>13</v>
      </c>
      <c r="L53" t="str">
        <f t="shared" si="16"/>
        <v>Laptop Pro 14</v>
      </c>
      <c r="M53" t="str">
        <f t="shared" si="17"/>
        <v>South-Sneha Rao</v>
      </c>
      <c r="N53" t="str">
        <f t="shared" si="18"/>
        <v>South-Retail Store</v>
      </c>
      <c r="O53">
        <f t="shared" si="19"/>
        <v>1052</v>
      </c>
    </row>
    <row r="54" spans="1:15" x14ac:dyDescent="0.35">
      <c r="A54" t="str">
        <f>Sales!A54</f>
        <v>ORD-1053</v>
      </c>
      <c r="B54" t="str">
        <f>Sales!D54</f>
        <v>Rahul Iyer</v>
      </c>
      <c r="C54" t="str">
        <f>Sales!G54</f>
        <v>Noise Cancel Headset</v>
      </c>
      <c r="D54" t="str">
        <f>Sales!C54</f>
        <v>South</v>
      </c>
      <c r="E54" t="str">
        <f>Sales!E54</f>
        <v>Partner</v>
      </c>
      <c r="F54" t="str">
        <f t="shared" si="10"/>
        <v>RAHUL IYER</v>
      </c>
      <c r="G54" t="str">
        <f t="shared" si="11"/>
        <v>rahul iyer</v>
      </c>
      <c r="H54" t="str">
        <f t="shared" si="12"/>
        <v>Rahul Iyer</v>
      </c>
      <c r="I54" t="str">
        <f t="shared" si="13"/>
        <v>ORD</v>
      </c>
      <c r="J54" t="str">
        <f t="shared" si="14"/>
        <v>1053</v>
      </c>
      <c r="K54">
        <f t="shared" si="15"/>
        <v>20</v>
      </c>
      <c r="L54" t="str">
        <f t="shared" si="16"/>
        <v>Noise Cancel Headset</v>
      </c>
      <c r="M54" t="str">
        <f t="shared" si="17"/>
        <v>South-Rahul Iyer</v>
      </c>
      <c r="N54" t="str">
        <f t="shared" si="18"/>
        <v>South-Partner</v>
      </c>
      <c r="O54">
        <f t="shared" si="19"/>
        <v>1053</v>
      </c>
    </row>
    <row r="55" spans="1:15" x14ac:dyDescent="0.35">
      <c r="A55" t="str">
        <f>Sales!A55</f>
        <v>ORD-1054</v>
      </c>
      <c r="B55" t="str">
        <f>Sales!D55</f>
        <v>Aarav Mehta</v>
      </c>
      <c r="C55" t="str">
        <f>Sales!G55</f>
        <v>Gel Pen Pack</v>
      </c>
      <c r="D55" t="str">
        <f>Sales!C55</f>
        <v>North</v>
      </c>
      <c r="E55" t="str">
        <f>Sales!E55</f>
        <v>Online</v>
      </c>
      <c r="F55" t="str">
        <f t="shared" si="10"/>
        <v>AARAV MEHTA</v>
      </c>
      <c r="G55" t="str">
        <f t="shared" si="11"/>
        <v>aarav mehta</v>
      </c>
      <c r="H55" t="str">
        <f t="shared" si="12"/>
        <v>Aarav Mehta</v>
      </c>
      <c r="I55" t="str">
        <f t="shared" si="13"/>
        <v>ORD</v>
      </c>
      <c r="J55" t="str">
        <f t="shared" si="14"/>
        <v>1054</v>
      </c>
      <c r="K55">
        <f t="shared" si="15"/>
        <v>12</v>
      </c>
      <c r="L55" t="str">
        <f t="shared" si="16"/>
        <v>Gel Pen Pack</v>
      </c>
      <c r="M55" t="str">
        <f t="shared" si="17"/>
        <v>North-Aarav Mehta</v>
      </c>
      <c r="N55" t="str">
        <f t="shared" si="18"/>
        <v>North-Online</v>
      </c>
      <c r="O55">
        <f t="shared" si="19"/>
        <v>1054</v>
      </c>
    </row>
    <row r="56" spans="1:15" x14ac:dyDescent="0.35">
      <c r="A56" t="str">
        <f>Sales!A56</f>
        <v>ORD-1055</v>
      </c>
      <c r="B56" t="str">
        <f>Sales!D56</f>
        <v>Sneha Rao</v>
      </c>
      <c r="C56" t="str">
        <f>Sales!G56</f>
        <v>Standing Desk</v>
      </c>
      <c r="D56" t="str">
        <f>Sales!C56</f>
        <v>South</v>
      </c>
      <c r="E56" t="str">
        <f>Sales!E56</f>
        <v>Retail Store</v>
      </c>
      <c r="F56" t="str">
        <f t="shared" si="10"/>
        <v>SNEHA RAO</v>
      </c>
      <c r="G56" t="str">
        <f t="shared" si="11"/>
        <v>sneha rao</v>
      </c>
      <c r="H56" t="str">
        <f t="shared" si="12"/>
        <v>Sneha Rao</v>
      </c>
      <c r="I56" t="str">
        <f t="shared" si="13"/>
        <v>ORD</v>
      </c>
      <c r="J56" t="str">
        <f t="shared" si="14"/>
        <v>1055</v>
      </c>
      <c r="K56">
        <f t="shared" si="15"/>
        <v>13</v>
      </c>
      <c r="L56" t="str">
        <f t="shared" si="16"/>
        <v>Standing Desk</v>
      </c>
      <c r="M56" t="str">
        <f t="shared" si="17"/>
        <v>South-Sneha Rao</v>
      </c>
      <c r="N56" t="str">
        <f t="shared" si="18"/>
        <v>South-Retail Store</v>
      </c>
      <c r="O56">
        <f t="shared" si="19"/>
        <v>1055</v>
      </c>
    </row>
    <row r="57" spans="1:15" x14ac:dyDescent="0.35">
      <c r="A57" t="str">
        <f>Sales!A57</f>
        <v>ORD-1056</v>
      </c>
      <c r="B57" t="str">
        <f>Sales!D57</f>
        <v>Priya Nair</v>
      </c>
      <c r="C57" t="str">
        <f>Sales!G57</f>
        <v>Wireless Mouse</v>
      </c>
      <c r="D57" t="str">
        <f>Sales!C57</f>
        <v>North</v>
      </c>
      <c r="E57" t="str">
        <f>Sales!E57</f>
        <v>Retail Store</v>
      </c>
      <c r="F57" t="str">
        <f t="shared" si="10"/>
        <v>PRIYA NAIR</v>
      </c>
      <c r="G57" t="str">
        <f t="shared" si="11"/>
        <v>priya nair</v>
      </c>
      <c r="H57" t="str">
        <f t="shared" si="12"/>
        <v>Priya Nair</v>
      </c>
      <c r="I57" t="str">
        <f t="shared" si="13"/>
        <v>ORD</v>
      </c>
      <c r="J57" t="str">
        <f t="shared" si="14"/>
        <v>1056</v>
      </c>
      <c r="K57">
        <f t="shared" si="15"/>
        <v>14</v>
      </c>
      <c r="L57" t="str">
        <f t="shared" si="16"/>
        <v>Wireless Mouse</v>
      </c>
      <c r="M57" t="str">
        <f t="shared" si="17"/>
        <v>North-Priya Nair</v>
      </c>
      <c r="N57" t="str">
        <f t="shared" si="18"/>
        <v>North-Retail Store</v>
      </c>
      <c r="O57">
        <f t="shared" si="19"/>
        <v>1056</v>
      </c>
    </row>
    <row r="58" spans="1:15" x14ac:dyDescent="0.35">
      <c r="A58" t="str">
        <f>Sales!A58</f>
        <v>ORD-1057</v>
      </c>
      <c r="B58" t="str">
        <f>Sales!D58</f>
        <v>Meera Sen</v>
      </c>
      <c r="C58" t="str">
        <f>Sales!G58</f>
        <v>Office Chair</v>
      </c>
      <c r="D58" t="str">
        <f>Sales!C58</f>
        <v>East</v>
      </c>
      <c r="E58" t="str">
        <f>Sales!E58</f>
        <v>Retail Store</v>
      </c>
      <c r="F58" t="str">
        <f t="shared" si="10"/>
        <v>MEERA SEN</v>
      </c>
      <c r="G58" t="str">
        <f t="shared" si="11"/>
        <v>meera sen</v>
      </c>
      <c r="H58" t="str">
        <f t="shared" si="12"/>
        <v>Meera Sen</v>
      </c>
      <c r="I58" t="str">
        <f t="shared" si="13"/>
        <v>ORD</v>
      </c>
      <c r="J58" t="str">
        <f t="shared" si="14"/>
        <v>1057</v>
      </c>
      <c r="K58">
        <f t="shared" si="15"/>
        <v>12</v>
      </c>
      <c r="L58" t="str">
        <f t="shared" si="16"/>
        <v>Office Chair</v>
      </c>
      <c r="M58" t="str">
        <f t="shared" si="17"/>
        <v>East-Meera Sen</v>
      </c>
      <c r="N58" t="str">
        <f t="shared" si="18"/>
        <v>East-Retail Store</v>
      </c>
      <c r="O58">
        <f t="shared" si="19"/>
        <v>1057</v>
      </c>
    </row>
    <row r="59" spans="1:15" x14ac:dyDescent="0.35">
      <c r="A59" t="str">
        <f>Sales!A59</f>
        <v>ORD-1058</v>
      </c>
      <c r="B59" t="str">
        <f>Sales!D59</f>
        <v>Sneha Rao</v>
      </c>
      <c r="C59" t="str">
        <f>Sales!G59</f>
        <v>Notebook Set</v>
      </c>
      <c r="D59" t="str">
        <f>Sales!C59</f>
        <v>South</v>
      </c>
      <c r="E59" t="str">
        <f>Sales!E59</f>
        <v>Online</v>
      </c>
      <c r="F59" t="str">
        <f t="shared" si="10"/>
        <v>SNEHA RAO</v>
      </c>
      <c r="G59" t="str">
        <f t="shared" si="11"/>
        <v>sneha rao</v>
      </c>
      <c r="H59" t="str">
        <f t="shared" si="12"/>
        <v>Sneha Rao</v>
      </c>
      <c r="I59" t="str">
        <f t="shared" si="13"/>
        <v>ORD</v>
      </c>
      <c r="J59" t="str">
        <f t="shared" si="14"/>
        <v>1058</v>
      </c>
      <c r="K59">
        <f t="shared" si="15"/>
        <v>12</v>
      </c>
      <c r="L59" t="str">
        <f t="shared" si="16"/>
        <v>Notebook Set</v>
      </c>
      <c r="M59" t="str">
        <f t="shared" si="17"/>
        <v>South-Sneha Rao</v>
      </c>
      <c r="N59" t="str">
        <f t="shared" si="18"/>
        <v>South-Online</v>
      </c>
      <c r="O59">
        <f t="shared" si="19"/>
        <v>1058</v>
      </c>
    </row>
    <row r="60" spans="1:15" x14ac:dyDescent="0.35">
      <c r="A60" t="str">
        <f>Sales!A60</f>
        <v>ORD-1059</v>
      </c>
      <c r="B60" t="str">
        <f>Sales!D60</f>
        <v>Vikram Shah</v>
      </c>
      <c r="C60" t="str">
        <f>Sales!G60</f>
        <v>Wireless Mouse</v>
      </c>
      <c r="D60" t="str">
        <f>Sales!C60</f>
        <v>West</v>
      </c>
      <c r="E60" t="str">
        <f>Sales!E60</f>
        <v>Online</v>
      </c>
      <c r="F60" t="str">
        <f t="shared" si="10"/>
        <v>VIKRAM SHAH</v>
      </c>
      <c r="G60" t="str">
        <f t="shared" si="11"/>
        <v>vikram shah</v>
      </c>
      <c r="H60" t="str">
        <f t="shared" si="12"/>
        <v>Vikram Shah</v>
      </c>
      <c r="I60" t="str">
        <f t="shared" si="13"/>
        <v>ORD</v>
      </c>
      <c r="J60" t="str">
        <f t="shared" si="14"/>
        <v>1059</v>
      </c>
      <c r="K60">
        <f t="shared" si="15"/>
        <v>14</v>
      </c>
      <c r="L60" t="str">
        <f t="shared" si="16"/>
        <v>Wireless Mouse</v>
      </c>
      <c r="M60" t="str">
        <f t="shared" si="17"/>
        <v>West-Vikram Shah</v>
      </c>
      <c r="N60" t="str">
        <f t="shared" si="18"/>
        <v>West-Online</v>
      </c>
      <c r="O60">
        <f t="shared" si="19"/>
        <v>1059</v>
      </c>
    </row>
    <row r="61" spans="1:15" x14ac:dyDescent="0.35">
      <c r="A61" t="str">
        <f>Sales!A61</f>
        <v>ORD-1060</v>
      </c>
      <c r="B61" t="str">
        <f>Sales!D61</f>
        <v>Rahul Iyer</v>
      </c>
      <c r="C61" t="str">
        <f>Sales!G61</f>
        <v>A4 Paper Ream</v>
      </c>
      <c r="D61" t="str">
        <f>Sales!C61</f>
        <v>South</v>
      </c>
      <c r="E61" t="str">
        <f>Sales!E61</f>
        <v>Retail Store</v>
      </c>
      <c r="F61" t="str">
        <f t="shared" si="10"/>
        <v>RAHUL IYER</v>
      </c>
      <c r="G61" t="str">
        <f t="shared" si="11"/>
        <v>rahul iyer</v>
      </c>
      <c r="H61" t="str">
        <f t="shared" si="12"/>
        <v>Rahul Iyer</v>
      </c>
      <c r="I61" t="str">
        <f t="shared" si="13"/>
        <v>ORD</v>
      </c>
      <c r="J61" t="str">
        <f t="shared" si="14"/>
        <v>1060</v>
      </c>
      <c r="K61">
        <f t="shared" si="15"/>
        <v>13</v>
      </c>
      <c r="L61" t="str">
        <f t="shared" si="16"/>
        <v>A4 Paper Ream</v>
      </c>
      <c r="M61" t="str">
        <f t="shared" si="17"/>
        <v>South-Rahul Iyer</v>
      </c>
      <c r="N61" t="str">
        <f t="shared" si="18"/>
        <v>South-Retail Store</v>
      </c>
      <c r="O61">
        <f t="shared" si="19"/>
        <v>1060</v>
      </c>
    </row>
    <row r="62" spans="1:15" x14ac:dyDescent="0.35">
      <c r="A62" t="str">
        <f>Sales!A62</f>
        <v>ORD-1061</v>
      </c>
      <c r="B62" t="str">
        <f>Sales!D62</f>
        <v>Vikram Shah</v>
      </c>
      <c r="C62" t="str">
        <f>Sales!G62</f>
        <v>A4 Paper Ream</v>
      </c>
      <c r="D62" t="str">
        <f>Sales!C62</f>
        <v>West</v>
      </c>
      <c r="E62" t="str">
        <f>Sales!E62</f>
        <v>Retail Store</v>
      </c>
      <c r="F62" t="str">
        <f t="shared" si="10"/>
        <v>VIKRAM SHAH</v>
      </c>
      <c r="G62" t="str">
        <f t="shared" si="11"/>
        <v>vikram shah</v>
      </c>
      <c r="H62" t="str">
        <f t="shared" si="12"/>
        <v>Vikram Shah</v>
      </c>
      <c r="I62" t="str">
        <f t="shared" si="13"/>
        <v>ORD</v>
      </c>
      <c r="J62" t="str">
        <f t="shared" si="14"/>
        <v>1061</v>
      </c>
      <c r="K62">
        <f t="shared" si="15"/>
        <v>13</v>
      </c>
      <c r="L62" t="str">
        <f t="shared" si="16"/>
        <v>A4 Paper Ream</v>
      </c>
      <c r="M62" t="str">
        <f t="shared" si="17"/>
        <v>West-Vikram Shah</v>
      </c>
      <c r="N62" t="str">
        <f t="shared" si="18"/>
        <v>West-Retail Store</v>
      </c>
      <c r="O62">
        <f t="shared" si="19"/>
        <v>1061</v>
      </c>
    </row>
    <row r="63" spans="1:15" x14ac:dyDescent="0.35">
      <c r="A63" t="str">
        <f>Sales!A63</f>
        <v>ORD-1062</v>
      </c>
      <c r="B63" t="str">
        <f>Sales!D63</f>
        <v>Rahul Iyer</v>
      </c>
      <c r="C63" t="str">
        <f>Sales!G63</f>
        <v>Office Chair</v>
      </c>
      <c r="D63" t="str">
        <f>Sales!C63</f>
        <v>South</v>
      </c>
      <c r="E63" t="str">
        <f>Sales!E63</f>
        <v>Online</v>
      </c>
      <c r="F63" t="str">
        <f t="shared" si="10"/>
        <v>RAHUL IYER</v>
      </c>
      <c r="G63" t="str">
        <f t="shared" si="11"/>
        <v>rahul iyer</v>
      </c>
      <c r="H63" t="str">
        <f t="shared" si="12"/>
        <v>Rahul Iyer</v>
      </c>
      <c r="I63" t="str">
        <f t="shared" si="13"/>
        <v>ORD</v>
      </c>
      <c r="J63" t="str">
        <f t="shared" si="14"/>
        <v>1062</v>
      </c>
      <c r="K63">
        <f t="shared" si="15"/>
        <v>12</v>
      </c>
      <c r="L63" t="str">
        <f t="shared" si="16"/>
        <v>Office Chair</v>
      </c>
      <c r="M63" t="str">
        <f t="shared" si="17"/>
        <v>South-Rahul Iyer</v>
      </c>
      <c r="N63" t="str">
        <f t="shared" si="18"/>
        <v>South-Online</v>
      </c>
      <c r="O63">
        <f t="shared" si="19"/>
        <v>1062</v>
      </c>
    </row>
    <row r="64" spans="1:15" x14ac:dyDescent="0.35">
      <c r="A64" t="str">
        <f>Sales!A64</f>
        <v>ORD-1063</v>
      </c>
      <c r="B64" t="str">
        <f>Sales!D64</f>
        <v>Ananya Joshi</v>
      </c>
      <c r="C64" t="str">
        <f>Sales!G64</f>
        <v>Noise Cancel Headset</v>
      </c>
      <c r="D64" t="str">
        <f>Sales!C64</f>
        <v>West</v>
      </c>
      <c r="E64" t="str">
        <f>Sales!E64</f>
        <v>Online</v>
      </c>
      <c r="F64" t="str">
        <f t="shared" si="10"/>
        <v>ANANYA JOSHI</v>
      </c>
      <c r="G64" t="str">
        <f t="shared" si="11"/>
        <v>ananya joshi</v>
      </c>
      <c r="H64" t="str">
        <f t="shared" si="12"/>
        <v>Ananya Joshi</v>
      </c>
      <c r="I64" t="str">
        <f t="shared" si="13"/>
        <v>ORD</v>
      </c>
      <c r="J64" t="str">
        <f t="shared" si="14"/>
        <v>1063</v>
      </c>
      <c r="K64">
        <f t="shared" si="15"/>
        <v>20</v>
      </c>
      <c r="L64" t="str">
        <f t="shared" si="16"/>
        <v>Noise Cancel Headset</v>
      </c>
      <c r="M64" t="str">
        <f t="shared" si="17"/>
        <v>West-Ananya Joshi</v>
      </c>
      <c r="N64" t="str">
        <f t="shared" si="18"/>
        <v>West-Online</v>
      </c>
      <c r="O64">
        <f t="shared" si="19"/>
        <v>1063</v>
      </c>
    </row>
    <row r="65" spans="1:15" x14ac:dyDescent="0.35">
      <c r="A65" t="str">
        <f>Sales!A65</f>
        <v>ORD-1064</v>
      </c>
      <c r="B65" t="str">
        <f>Sales!D65</f>
        <v>Priya Nair</v>
      </c>
      <c r="C65" t="str">
        <f>Sales!G65</f>
        <v>Office Chair</v>
      </c>
      <c r="D65" t="str">
        <f>Sales!C65</f>
        <v>North</v>
      </c>
      <c r="E65" t="str">
        <f>Sales!E65</f>
        <v>Partner</v>
      </c>
      <c r="F65" t="str">
        <f t="shared" si="10"/>
        <v>PRIYA NAIR</v>
      </c>
      <c r="G65" t="str">
        <f t="shared" si="11"/>
        <v>priya nair</v>
      </c>
      <c r="H65" t="str">
        <f t="shared" si="12"/>
        <v>Priya Nair</v>
      </c>
      <c r="I65" t="str">
        <f t="shared" si="13"/>
        <v>ORD</v>
      </c>
      <c r="J65" t="str">
        <f t="shared" si="14"/>
        <v>1064</v>
      </c>
      <c r="K65">
        <f t="shared" si="15"/>
        <v>12</v>
      </c>
      <c r="L65" t="str">
        <f t="shared" si="16"/>
        <v>Office Chair</v>
      </c>
      <c r="M65" t="str">
        <f t="shared" si="17"/>
        <v>North-Priya Nair</v>
      </c>
      <c r="N65" t="str">
        <f t="shared" si="18"/>
        <v>North-Partner</v>
      </c>
      <c r="O65">
        <f t="shared" si="19"/>
        <v>1064</v>
      </c>
    </row>
    <row r="66" spans="1:15" x14ac:dyDescent="0.35">
      <c r="A66" t="str">
        <f>Sales!A66</f>
        <v>ORD-1065</v>
      </c>
      <c r="B66" t="str">
        <f>Sales!D66</f>
        <v>Ananya Joshi</v>
      </c>
      <c r="C66" t="str">
        <f>Sales!G66</f>
        <v>Wireless Mouse</v>
      </c>
      <c r="D66" t="str">
        <f>Sales!C66</f>
        <v>West</v>
      </c>
      <c r="E66" t="str">
        <f>Sales!E66</f>
        <v>Retail Store</v>
      </c>
      <c r="F66" t="str">
        <f t="shared" ref="F66:F97" si="20">UPPER(B66)</f>
        <v>ANANYA JOSHI</v>
      </c>
      <c r="G66" t="str">
        <f t="shared" ref="G66:G97" si="21">LOWER(B66)</f>
        <v>ananya joshi</v>
      </c>
      <c r="H66" t="str">
        <f t="shared" ref="H66:H97" si="22">PROPER(B66)</f>
        <v>Ananya Joshi</v>
      </c>
      <c r="I66" t="str">
        <f t="shared" ref="I66:I97" si="23">LEFT(A66,3)</f>
        <v>ORD</v>
      </c>
      <c r="J66" t="str">
        <f t="shared" ref="J66:J97" si="24">RIGHT(A66,4)</f>
        <v>1065</v>
      </c>
      <c r="K66">
        <f t="shared" ref="K66:K97" si="25">LEN(C66)</f>
        <v>14</v>
      </c>
      <c r="L66" t="str">
        <f t="shared" ref="L66:L97" si="26">TRIM(C66)</f>
        <v>Wireless Mouse</v>
      </c>
      <c r="M66" t="str">
        <f t="shared" ref="M66:M97" si="27">D66&amp;"-"&amp;B66</f>
        <v>West-Ananya Joshi</v>
      </c>
      <c r="N66" t="str">
        <f t="shared" ref="N66:N97" si="28">D66&amp;"-"&amp;E66</f>
        <v>West-Retail Store</v>
      </c>
      <c r="O66">
        <f t="shared" ref="O66:O97" si="29">VALUE(MID(A66,FIND("-",A66)+1,LEN(A66)))</f>
        <v>1065</v>
      </c>
    </row>
    <row r="67" spans="1:15" x14ac:dyDescent="0.35">
      <c r="A67" t="str">
        <f>Sales!A67</f>
        <v>ORD-1066</v>
      </c>
      <c r="B67" t="str">
        <f>Sales!D67</f>
        <v>Meera Sen</v>
      </c>
      <c r="C67" t="str">
        <f>Sales!G67</f>
        <v>Standing Desk</v>
      </c>
      <c r="D67" t="str">
        <f>Sales!C67</f>
        <v>East</v>
      </c>
      <c r="E67" t="str">
        <f>Sales!E67</f>
        <v>Retail Store</v>
      </c>
      <c r="F67" t="str">
        <f t="shared" si="20"/>
        <v>MEERA SEN</v>
      </c>
      <c r="G67" t="str">
        <f t="shared" si="21"/>
        <v>meera sen</v>
      </c>
      <c r="H67" t="str">
        <f t="shared" si="22"/>
        <v>Meera Sen</v>
      </c>
      <c r="I67" t="str">
        <f t="shared" si="23"/>
        <v>ORD</v>
      </c>
      <c r="J67" t="str">
        <f t="shared" si="24"/>
        <v>1066</v>
      </c>
      <c r="K67">
        <f t="shared" si="25"/>
        <v>13</v>
      </c>
      <c r="L67" t="str">
        <f t="shared" si="26"/>
        <v>Standing Desk</v>
      </c>
      <c r="M67" t="str">
        <f t="shared" si="27"/>
        <v>East-Meera Sen</v>
      </c>
      <c r="N67" t="str">
        <f t="shared" si="28"/>
        <v>East-Retail Store</v>
      </c>
      <c r="O67">
        <f t="shared" si="29"/>
        <v>1066</v>
      </c>
    </row>
    <row r="68" spans="1:15" x14ac:dyDescent="0.35">
      <c r="A68" t="str">
        <f>Sales!A68</f>
        <v>ORD-1067</v>
      </c>
      <c r="B68" t="str">
        <f>Sales!D68</f>
        <v>Rahul Iyer</v>
      </c>
      <c r="C68" t="str">
        <f>Sales!G68</f>
        <v>Gel Pen Pack</v>
      </c>
      <c r="D68" t="str">
        <f>Sales!C68</f>
        <v>South</v>
      </c>
      <c r="E68" t="str">
        <f>Sales!E68</f>
        <v>Retail Store</v>
      </c>
      <c r="F68" t="str">
        <f t="shared" si="20"/>
        <v>RAHUL IYER</v>
      </c>
      <c r="G68" t="str">
        <f t="shared" si="21"/>
        <v>rahul iyer</v>
      </c>
      <c r="H68" t="str">
        <f t="shared" si="22"/>
        <v>Rahul Iyer</v>
      </c>
      <c r="I68" t="str">
        <f t="shared" si="23"/>
        <v>ORD</v>
      </c>
      <c r="J68" t="str">
        <f t="shared" si="24"/>
        <v>1067</v>
      </c>
      <c r="K68">
        <f t="shared" si="25"/>
        <v>12</v>
      </c>
      <c r="L68" t="str">
        <f t="shared" si="26"/>
        <v>Gel Pen Pack</v>
      </c>
      <c r="M68" t="str">
        <f t="shared" si="27"/>
        <v>South-Rahul Iyer</v>
      </c>
      <c r="N68" t="str">
        <f t="shared" si="28"/>
        <v>South-Retail Store</v>
      </c>
      <c r="O68">
        <f t="shared" si="29"/>
        <v>1067</v>
      </c>
    </row>
    <row r="69" spans="1:15" x14ac:dyDescent="0.35">
      <c r="A69" t="str">
        <f>Sales!A69</f>
        <v>ORD-1068</v>
      </c>
      <c r="B69" t="str">
        <f>Sales!D69</f>
        <v>Aarav Mehta</v>
      </c>
      <c r="C69" t="str">
        <f>Sales!G69</f>
        <v>Noise Cancel Headset</v>
      </c>
      <c r="D69" t="str">
        <f>Sales!C69</f>
        <v>North</v>
      </c>
      <c r="E69" t="str">
        <f>Sales!E69</f>
        <v>Retail Store</v>
      </c>
      <c r="F69" t="str">
        <f t="shared" si="20"/>
        <v>AARAV MEHTA</v>
      </c>
      <c r="G69" t="str">
        <f t="shared" si="21"/>
        <v>aarav mehta</v>
      </c>
      <c r="H69" t="str">
        <f t="shared" si="22"/>
        <v>Aarav Mehta</v>
      </c>
      <c r="I69" t="str">
        <f t="shared" si="23"/>
        <v>ORD</v>
      </c>
      <c r="J69" t="str">
        <f t="shared" si="24"/>
        <v>1068</v>
      </c>
      <c r="K69">
        <f t="shared" si="25"/>
        <v>20</v>
      </c>
      <c r="L69" t="str">
        <f t="shared" si="26"/>
        <v>Noise Cancel Headset</v>
      </c>
      <c r="M69" t="str">
        <f t="shared" si="27"/>
        <v>North-Aarav Mehta</v>
      </c>
      <c r="N69" t="str">
        <f t="shared" si="28"/>
        <v>North-Retail Store</v>
      </c>
      <c r="O69">
        <f t="shared" si="29"/>
        <v>1068</v>
      </c>
    </row>
    <row r="70" spans="1:15" x14ac:dyDescent="0.35">
      <c r="A70" t="str">
        <f>Sales!A70</f>
        <v>ORD-1069</v>
      </c>
      <c r="B70" t="str">
        <f>Sales!D70</f>
        <v>Ananya Joshi</v>
      </c>
      <c r="C70" t="str">
        <f>Sales!G70</f>
        <v>Notebook Set</v>
      </c>
      <c r="D70" t="str">
        <f>Sales!C70</f>
        <v>West</v>
      </c>
      <c r="E70" t="str">
        <f>Sales!E70</f>
        <v>Retail Store</v>
      </c>
      <c r="F70" t="str">
        <f t="shared" si="20"/>
        <v>ANANYA JOSHI</v>
      </c>
      <c r="G70" t="str">
        <f t="shared" si="21"/>
        <v>ananya joshi</v>
      </c>
      <c r="H70" t="str">
        <f t="shared" si="22"/>
        <v>Ananya Joshi</v>
      </c>
      <c r="I70" t="str">
        <f t="shared" si="23"/>
        <v>ORD</v>
      </c>
      <c r="J70" t="str">
        <f t="shared" si="24"/>
        <v>1069</v>
      </c>
      <c r="K70">
        <f t="shared" si="25"/>
        <v>12</v>
      </c>
      <c r="L70" t="str">
        <f t="shared" si="26"/>
        <v>Notebook Set</v>
      </c>
      <c r="M70" t="str">
        <f t="shared" si="27"/>
        <v>West-Ananya Joshi</v>
      </c>
      <c r="N70" t="str">
        <f t="shared" si="28"/>
        <v>West-Retail Store</v>
      </c>
      <c r="O70">
        <f t="shared" si="29"/>
        <v>1069</v>
      </c>
    </row>
    <row r="71" spans="1:15" x14ac:dyDescent="0.35">
      <c r="A71" t="str">
        <f>Sales!A71</f>
        <v>ORD-1070</v>
      </c>
      <c r="B71" t="str">
        <f>Sales!D71</f>
        <v>Vikram Shah</v>
      </c>
      <c r="C71" t="str">
        <f>Sales!G71</f>
        <v>Wireless Mouse</v>
      </c>
      <c r="D71" t="str">
        <f>Sales!C71</f>
        <v>West</v>
      </c>
      <c r="E71" t="str">
        <f>Sales!E71</f>
        <v>Partner</v>
      </c>
      <c r="F71" t="str">
        <f t="shared" si="20"/>
        <v>VIKRAM SHAH</v>
      </c>
      <c r="G71" t="str">
        <f t="shared" si="21"/>
        <v>vikram shah</v>
      </c>
      <c r="H71" t="str">
        <f t="shared" si="22"/>
        <v>Vikram Shah</v>
      </c>
      <c r="I71" t="str">
        <f t="shared" si="23"/>
        <v>ORD</v>
      </c>
      <c r="J71" t="str">
        <f t="shared" si="24"/>
        <v>1070</v>
      </c>
      <c r="K71">
        <f t="shared" si="25"/>
        <v>14</v>
      </c>
      <c r="L71" t="str">
        <f t="shared" si="26"/>
        <v>Wireless Mouse</v>
      </c>
      <c r="M71" t="str">
        <f t="shared" si="27"/>
        <v>West-Vikram Shah</v>
      </c>
      <c r="N71" t="str">
        <f t="shared" si="28"/>
        <v>West-Partner</v>
      </c>
      <c r="O71">
        <f t="shared" si="29"/>
        <v>1070</v>
      </c>
    </row>
    <row r="72" spans="1:15" x14ac:dyDescent="0.35">
      <c r="A72" t="str">
        <f>Sales!A72</f>
        <v>ORD-1071</v>
      </c>
      <c r="B72" t="str">
        <f>Sales!D72</f>
        <v>Ananya Joshi</v>
      </c>
      <c r="C72" t="str">
        <f>Sales!G72</f>
        <v>Office Chair</v>
      </c>
      <c r="D72" t="str">
        <f>Sales!C72</f>
        <v>West</v>
      </c>
      <c r="E72" t="str">
        <f>Sales!E72</f>
        <v>Online</v>
      </c>
      <c r="F72" t="str">
        <f t="shared" si="20"/>
        <v>ANANYA JOSHI</v>
      </c>
      <c r="G72" t="str">
        <f t="shared" si="21"/>
        <v>ananya joshi</v>
      </c>
      <c r="H72" t="str">
        <f t="shared" si="22"/>
        <v>Ananya Joshi</v>
      </c>
      <c r="I72" t="str">
        <f t="shared" si="23"/>
        <v>ORD</v>
      </c>
      <c r="J72" t="str">
        <f t="shared" si="24"/>
        <v>1071</v>
      </c>
      <c r="K72">
        <f t="shared" si="25"/>
        <v>12</v>
      </c>
      <c r="L72" t="str">
        <f t="shared" si="26"/>
        <v>Office Chair</v>
      </c>
      <c r="M72" t="str">
        <f t="shared" si="27"/>
        <v>West-Ananya Joshi</v>
      </c>
      <c r="N72" t="str">
        <f t="shared" si="28"/>
        <v>West-Online</v>
      </c>
      <c r="O72">
        <f t="shared" si="29"/>
        <v>1071</v>
      </c>
    </row>
    <row r="73" spans="1:15" x14ac:dyDescent="0.35">
      <c r="A73" t="str">
        <f>Sales!A73</f>
        <v>ORD-1072</v>
      </c>
      <c r="B73" t="str">
        <f>Sales!D73</f>
        <v>Kabir Das</v>
      </c>
      <c r="C73" t="str">
        <f>Sales!G73</f>
        <v>Office Chair</v>
      </c>
      <c r="D73" t="str">
        <f>Sales!C73</f>
        <v>East</v>
      </c>
      <c r="E73" t="str">
        <f>Sales!E73</f>
        <v>Online</v>
      </c>
      <c r="F73" t="str">
        <f t="shared" si="20"/>
        <v>KABIR DAS</v>
      </c>
      <c r="G73" t="str">
        <f t="shared" si="21"/>
        <v>kabir das</v>
      </c>
      <c r="H73" t="str">
        <f t="shared" si="22"/>
        <v>Kabir Das</v>
      </c>
      <c r="I73" t="str">
        <f t="shared" si="23"/>
        <v>ORD</v>
      </c>
      <c r="J73" t="str">
        <f t="shared" si="24"/>
        <v>1072</v>
      </c>
      <c r="K73">
        <f t="shared" si="25"/>
        <v>12</v>
      </c>
      <c r="L73" t="str">
        <f t="shared" si="26"/>
        <v>Office Chair</v>
      </c>
      <c r="M73" t="str">
        <f t="shared" si="27"/>
        <v>East-Kabir Das</v>
      </c>
      <c r="N73" t="str">
        <f t="shared" si="28"/>
        <v>East-Online</v>
      </c>
      <c r="O73">
        <f t="shared" si="29"/>
        <v>1072</v>
      </c>
    </row>
    <row r="74" spans="1:15" x14ac:dyDescent="0.35">
      <c r="A74" t="str">
        <f>Sales!A74</f>
        <v>ORD-1073</v>
      </c>
      <c r="B74" t="str">
        <f>Sales!D74</f>
        <v>Meera Sen</v>
      </c>
      <c r="C74" t="str">
        <f>Sales!G74</f>
        <v>Noise Cancel Headset</v>
      </c>
      <c r="D74" t="str">
        <f>Sales!C74</f>
        <v>East</v>
      </c>
      <c r="E74" t="str">
        <f>Sales!E74</f>
        <v>Retail Store</v>
      </c>
      <c r="F74" t="str">
        <f t="shared" si="20"/>
        <v>MEERA SEN</v>
      </c>
      <c r="G74" t="str">
        <f t="shared" si="21"/>
        <v>meera sen</v>
      </c>
      <c r="H74" t="str">
        <f t="shared" si="22"/>
        <v>Meera Sen</v>
      </c>
      <c r="I74" t="str">
        <f t="shared" si="23"/>
        <v>ORD</v>
      </c>
      <c r="J74" t="str">
        <f t="shared" si="24"/>
        <v>1073</v>
      </c>
      <c r="K74">
        <f t="shared" si="25"/>
        <v>20</v>
      </c>
      <c r="L74" t="str">
        <f t="shared" si="26"/>
        <v>Noise Cancel Headset</v>
      </c>
      <c r="M74" t="str">
        <f t="shared" si="27"/>
        <v>East-Meera Sen</v>
      </c>
      <c r="N74" t="str">
        <f t="shared" si="28"/>
        <v>East-Retail Store</v>
      </c>
      <c r="O74">
        <f t="shared" si="29"/>
        <v>1073</v>
      </c>
    </row>
    <row r="75" spans="1:15" x14ac:dyDescent="0.35">
      <c r="A75" t="str">
        <f>Sales!A75</f>
        <v>ORD-1074</v>
      </c>
      <c r="B75" t="str">
        <f>Sales!D75</f>
        <v>Kabir Das</v>
      </c>
      <c r="C75" t="str">
        <f>Sales!G75</f>
        <v>Wireless Mouse</v>
      </c>
      <c r="D75" t="str">
        <f>Sales!C75</f>
        <v>East</v>
      </c>
      <c r="E75" t="str">
        <f>Sales!E75</f>
        <v>Partner</v>
      </c>
      <c r="F75" t="str">
        <f t="shared" si="20"/>
        <v>KABIR DAS</v>
      </c>
      <c r="G75" t="str">
        <f t="shared" si="21"/>
        <v>kabir das</v>
      </c>
      <c r="H75" t="str">
        <f t="shared" si="22"/>
        <v>Kabir Das</v>
      </c>
      <c r="I75" t="str">
        <f t="shared" si="23"/>
        <v>ORD</v>
      </c>
      <c r="J75" t="str">
        <f t="shared" si="24"/>
        <v>1074</v>
      </c>
      <c r="K75">
        <f t="shared" si="25"/>
        <v>14</v>
      </c>
      <c r="L75" t="str">
        <f t="shared" si="26"/>
        <v>Wireless Mouse</v>
      </c>
      <c r="M75" t="str">
        <f t="shared" si="27"/>
        <v>East-Kabir Das</v>
      </c>
      <c r="N75" t="str">
        <f t="shared" si="28"/>
        <v>East-Partner</v>
      </c>
      <c r="O75">
        <f t="shared" si="29"/>
        <v>1074</v>
      </c>
    </row>
    <row r="76" spans="1:15" x14ac:dyDescent="0.35">
      <c r="A76" t="str">
        <f>Sales!A76</f>
        <v>ORD-1075</v>
      </c>
      <c r="B76" t="str">
        <f>Sales!D76</f>
        <v>Ananya Joshi</v>
      </c>
      <c r="C76" t="str">
        <f>Sales!G76</f>
        <v>A4 Paper Ream</v>
      </c>
      <c r="D76" t="str">
        <f>Sales!C76</f>
        <v>West</v>
      </c>
      <c r="E76" t="str">
        <f>Sales!E76</f>
        <v>Retail Store</v>
      </c>
      <c r="F76" t="str">
        <f t="shared" si="20"/>
        <v>ANANYA JOSHI</v>
      </c>
      <c r="G76" t="str">
        <f t="shared" si="21"/>
        <v>ananya joshi</v>
      </c>
      <c r="H76" t="str">
        <f t="shared" si="22"/>
        <v>Ananya Joshi</v>
      </c>
      <c r="I76" t="str">
        <f t="shared" si="23"/>
        <v>ORD</v>
      </c>
      <c r="J76" t="str">
        <f t="shared" si="24"/>
        <v>1075</v>
      </c>
      <c r="K76">
        <f t="shared" si="25"/>
        <v>13</v>
      </c>
      <c r="L76" t="str">
        <f t="shared" si="26"/>
        <v>A4 Paper Ream</v>
      </c>
      <c r="M76" t="str">
        <f t="shared" si="27"/>
        <v>West-Ananya Joshi</v>
      </c>
      <c r="N76" t="str">
        <f t="shared" si="28"/>
        <v>West-Retail Store</v>
      </c>
      <c r="O76">
        <f t="shared" si="29"/>
        <v>1075</v>
      </c>
    </row>
    <row r="77" spans="1:15" x14ac:dyDescent="0.35">
      <c r="A77" t="str">
        <f>Sales!A77</f>
        <v>ORD-1076</v>
      </c>
      <c r="B77" t="str">
        <f>Sales!D77</f>
        <v>Priya Nair</v>
      </c>
      <c r="C77" t="str">
        <f>Sales!G77</f>
        <v>Laptop Pro 14</v>
      </c>
      <c r="D77" t="str">
        <f>Sales!C77</f>
        <v>North</v>
      </c>
      <c r="E77" t="str">
        <f>Sales!E77</f>
        <v>Partner</v>
      </c>
      <c r="F77" t="str">
        <f t="shared" si="20"/>
        <v>PRIYA NAIR</v>
      </c>
      <c r="G77" t="str">
        <f t="shared" si="21"/>
        <v>priya nair</v>
      </c>
      <c r="H77" t="str">
        <f t="shared" si="22"/>
        <v>Priya Nair</v>
      </c>
      <c r="I77" t="str">
        <f t="shared" si="23"/>
        <v>ORD</v>
      </c>
      <c r="J77" t="str">
        <f t="shared" si="24"/>
        <v>1076</v>
      </c>
      <c r="K77">
        <f t="shared" si="25"/>
        <v>13</v>
      </c>
      <c r="L77" t="str">
        <f t="shared" si="26"/>
        <v>Laptop Pro 14</v>
      </c>
      <c r="M77" t="str">
        <f t="shared" si="27"/>
        <v>North-Priya Nair</v>
      </c>
      <c r="N77" t="str">
        <f t="shared" si="28"/>
        <v>North-Partner</v>
      </c>
      <c r="O77">
        <f t="shared" si="29"/>
        <v>1076</v>
      </c>
    </row>
    <row r="78" spans="1:15" x14ac:dyDescent="0.35">
      <c r="A78" t="str">
        <f>Sales!A78</f>
        <v>ORD-1077</v>
      </c>
      <c r="B78" t="str">
        <f>Sales!D78</f>
        <v>Ananya Joshi</v>
      </c>
      <c r="C78" t="str">
        <f>Sales!G78</f>
        <v>Noise Cancel Headset</v>
      </c>
      <c r="D78" t="str">
        <f>Sales!C78</f>
        <v>West</v>
      </c>
      <c r="E78" t="str">
        <f>Sales!E78</f>
        <v>Partner</v>
      </c>
      <c r="F78" t="str">
        <f t="shared" si="20"/>
        <v>ANANYA JOSHI</v>
      </c>
      <c r="G78" t="str">
        <f t="shared" si="21"/>
        <v>ananya joshi</v>
      </c>
      <c r="H78" t="str">
        <f t="shared" si="22"/>
        <v>Ananya Joshi</v>
      </c>
      <c r="I78" t="str">
        <f t="shared" si="23"/>
        <v>ORD</v>
      </c>
      <c r="J78" t="str">
        <f t="shared" si="24"/>
        <v>1077</v>
      </c>
      <c r="K78">
        <f t="shared" si="25"/>
        <v>20</v>
      </c>
      <c r="L78" t="str">
        <f t="shared" si="26"/>
        <v>Noise Cancel Headset</v>
      </c>
      <c r="M78" t="str">
        <f t="shared" si="27"/>
        <v>West-Ananya Joshi</v>
      </c>
      <c r="N78" t="str">
        <f t="shared" si="28"/>
        <v>West-Partner</v>
      </c>
      <c r="O78">
        <f t="shared" si="29"/>
        <v>1077</v>
      </c>
    </row>
    <row r="79" spans="1:15" x14ac:dyDescent="0.35">
      <c r="A79" t="str">
        <f>Sales!A79</f>
        <v>ORD-1078</v>
      </c>
      <c r="B79" t="str">
        <f>Sales!D79</f>
        <v>Priya Nair</v>
      </c>
      <c r="C79" t="str">
        <f>Sales!G79</f>
        <v>Filing Cabinet</v>
      </c>
      <c r="D79" t="str">
        <f>Sales!C79</f>
        <v>North</v>
      </c>
      <c r="E79" t="str">
        <f>Sales!E79</f>
        <v>Partner</v>
      </c>
      <c r="F79" t="str">
        <f t="shared" si="20"/>
        <v>PRIYA NAIR</v>
      </c>
      <c r="G79" t="str">
        <f t="shared" si="21"/>
        <v>priya nair</v>
      </c>
      <c r="H79" t="str">
        <f t="shared" si="22"/>
        <v>Priya Nair</v>
      </c>
      <c r="I79" t="str">
        <f t="shared" si="23"/>
        <v>ORD</v>
      </c>
      <c r="J79" t="str">
        <f t="shared" si="24"/>
        <v>1078</v>
      </c>
      <c r="K79">
        <f t="shared" si="25"/>
        <v>14</v>
      </c>
      <c r="L79" t="str">
        <f t="shared" si="26"/>
        <v>Filing Cabinet</v>
      </c>
      <c r="M79" t="str">
        <f t="shared" si="27"/>
        <v>North-Priya Nair</v>
      </c>
      <c r="N79" t="str">
        <f t="shared" si="28"/>
        <v>North-Partner</v>
      </c>
      <c r="O79">
        <f t="shared" si="29"/>
        <v>1078</v>
      </c>
    </row>
    <row r="80" spans="1:15" x14ac:dyDescent="0.35">
      <c r="A80" t="str">
        <f>Sales!A80</f>
        <v>ORD-1079</v>
      </c>
      <c r="B80" t="str">
        <f>Sales!D80</f>
        <v>Vikram Shah</v>
      </c>
      <c r="C80" t="str">
        <f>Sales!G80</f>
        <v>Standing Desk</v>
      </c>
      <c r="D80" t="str">
        <f>Sales!C80</f>
        <v>West</v>
      </c>
      <c r="E80" t="str">
        <f>Sales!E80</f>
        <v>Retail Store</v>
      </c>
      <c r="F80" t="str">
        <f t="shared" si="20"/>
        <v>VIKRAM SHAH</v>
      </c>
      <c r="G80" t="str">
        <f t="shared" si="21"/>
        <v>vikram shah</v>
      </c>
      <c r="H80" t="str">
        <f t="shared" si="22"/>
        <v>Vikram Shah</v>
      </c>
      <c r="I80" t="str">
        <f t="shared" si="23"/>
        <v>ORD</v>
      </c>
      <c r="J80" t="str">
        <f t="shared" si="24"/>
        <v>1079</v>
      </c>
      <c r="K80">
        <f t="shared" si="25"/>
        <v>13</v>
      </c>
      <c r="L80" t="str">
        <f t="shared" si="26"/>
        <v>Standing Desk</v>
      </c>
      <c r="M80" t="str">
        <f t="shared" si="27"/>
        <v>West-Vikram Shah</v>
      </c>
      <c r="N80" t="str">
        <f t="shared" si="28"/>
        <v>West-Retail Store</v>
      </c>
      <c r="O80">
        <f t="shared" si="29"/>
        <v>1079</v>
      </c>
    </row>
    <row r="81" spans="1:15" x14ac:dyDescent="0.35">
      <c r="A81" t="str">
        <f>Sales!A81</f>
        <v>ORD-1080</v>
      </c>
      <c r="B81" t="str">
        <f>Sales!D81</f>
        <v>Vikram Shah</v>
      </c>
      <c r="C81" t="str">
        <f>Sales!G81</f>
        <v>Noise Cancel Headset</v>
      </c>
      <c r="D81" t="str">
        <f>Sales!C81</f>
        <v>West</v>
      </c>
      <c r="E81" t="str">
        <f>Sales!E81</f>
        <v>Retail Store</v>
      </c>
      <c r="F81" t="str">
        <f t="shared" si="20"/>
        <v>VIKRAM SHAH</v>
      </c>
      <c r="G81" t="str">
        <f t="shared" si="21"/>
        <v>vikram shah</v>
      </c>
      <c r="H81" t="str">
        <f t="shared" si="22"/>
        <v>Vikram Shah</v>
      </c>
      <c r="I81" t="str">
        <f t="shared" si="23"/>
        <v>ORD</v>
      </c>
      <c r="J81" t="str">
        <f t="shared" si="24"/>
        <v>1080</v>
      </c>
      <c r="K81">
        <f t="shared" si="25"/>
        <v>20</v>
      </c>
      <c r="L81" t="str">
        <f t="shared" si="26"/>
        <v>Noise Cancel Headset</v>
      </c>
      <c r="M81" t="str">
        <f t="shared" si="27"/>
        <v>West-Vikram Shah</v>
      </c>
      <c r="N81" t="str">
        <f t="shared" si="28"/>
        <v>West-Retail Store</v>
      </c>
      <c r="O81">
        <f t="shared" si="29"/>
        <v>1080</v>
      </c>
    </row>
    <row r="82" spans="1:15" x14ac:dyDescent="0.35">
      <c r="A82" t="str">
        <f>Sales!A82</f>
        <v>ORD-1081</v>
      </c>
      <c r="B82" t="str">
        <f>Sales!D82</f>
        <v>Kabir Das</v>
      </c>
      <c r="C82" t="str">
        <f>Sales!G82</f>
        <v>Laptop Pro 14</v>
      </c>
      <c r="D82" t="str">
        <f>Sales!C82</f>
        <v>East</v>
      </c>
      <c r="E82" t="str">
        <f>Sales!E82</f>
        <v>Online</v>
      </c>
      <c r="F82" t="str">
        <f t="shared" si="20"/>
        <v>KABIR DAS</v>
      </c>
      <c r="G82" t="str">
        <f t="shared" si="21"/>
        <v>kabir das</v>
      </c>
      <c r="H82" t="str">
        <f t="shared" si="22"/>
        <v>Kabir Das</v>
      </c>
      <c r="I82" t="str">
        <f t="shared" si="23"/>
        <v>ORD</v>
      </c>
      <c r="J82" t="str">
        <f t="shared" si="24"/>
        <v>1081</v>
      </c>
      <c r="K82">
        <f t="shared" si="25"/>
        <v>13</v>
      </c>
      <c r="L82" t="str">
        <f t="shared" si="26"/>
        <v>Laptop Pro 14</v>
      </c>
      <c r="M82" t="str">
        <f t="shared" si="27"/>
        <v>East-Kabir Das</v>
      </c>
      <c r="N82" t="str">
        <f t="shared" si="28"/>
        <v>East-Online</v>
      </c>
      <c r="O82">
        <f t="shared" si="29"/>
        <v>1081</v>
      </c>
    </row>
    <row r="83" spans="1:15" x14ac:dyDescent="0.35">
      <c r="A83" t="str">
        <f>Sales!A83</f>
        <v>ORD-1082</v>
      </c>
      <c r="B83" t="str">
        <f>Sales!D83</f>
        <v>Priya Nair</v>
      </c>
      <c r="C83" t="str">
        <f>Sales!G83</f>
        <v>Filing Cabinet</v>
      </c>
      <c r="D83" t="str">
        <f>Sales!C83</f>
        <v>North</v>
      </c>
      <c r="E83" t="str">
        <f>Sales!E83</f>
        <v>Online</v>
      </c>
      <c r="F83" t="str">
        <f t="shared" si="20"/>
        <v>PRIYA NAIR</v>
      </c>
      <c r="G83" t="str">
        <f t="shared" si="21"/>
        <v>priya nair</v>
      </c>
      <c r="H83" t="str">
        <f t="shared" si="22"/>
        <v>Priya Nair</v>
      </c>
      <c r="I83" t="str">
        <f t="shared" si="23"/>
        <v>ORD</v>
      </c>
      <c r="J83" t="str">
        <f t="shared" si="24"/>
        <v>1082</v>
      </c>
      <c r="K83">
        <f t="shared" si="25"/>
        <v>14</v>
      </c>
      <c r="L83" t="str">
        <f t="shared" si="26"/>
        <v>Filing Cabinet</v>
      </c>
      <c r="M83" t="str">
        <f t="shared" si="27"/>
        <v>North-Priya Nair</v>
      </c>
      <c r="N83" t="str">
        <f t="shared" si="28"/>
        <v>North-Online</v>
      </c>
      <c r="O83">
        <f t="shared" si="29"/>
        <v>1082</v>
      </c>
    </row>
    <row r="84" spans="1:15" x14ac:dyDescent="0.35">
      <c r="A84" t="str">
        <f>Sales!A84</f>
        <v>ORD-1083</v>
      </c>
      <c r="B84" t="str">
        <f>Sales!D84</f>
        <v>Rahul Iyer</v>
      </c>
      <c r="C84" t="str">
        <f>Sales!G84</f>
        <v>Wireless Mouse</v>
      </c>
      <c r="D84" t="str">
        <f>Sales!C84</f>
        <v>South</v>
      </c>
      <c r="E84" t="str">
        <f>Sales!E84</f>
        <v>Retail Store</v>
      </c>
      <c r="F84" t="str">
        <f t="shared" si="20"/>
        <v>RAHUL IYER</v>
      </c>
      <c r="G84" t="str">
        <f t="shared" si="21"/>
        <v>rahul iyer</v>
      </c>
      <c r="H84" t="str">
        <f t="shared" si="22"/>
        <v>Rahul Iyer</v>
      </c>
      <c r="I84" t="str">
        <f t="shared" si="23"/>
        <v>ORD</v>
      </c>
      <c r="J84" t="str">
        <f t="shared" si="24"/>
        <v>1083</v>
      </c>
      <c r="K84">
        <f t="shared" si="25"/>
        <v>14</v>
      </c>
      <c r="L84" t="str">
        <f t="shared" si="26"/>
        <v>Wireless Mouse</v>
      </c>
      <c r="M84" t="str">
        <f t="shared" si="27"/>
        <v>South-Rahul Iyer</v>
      </c>
      <c r="N84" t="str">
        <f t="shared" si="28"/>
        <v>South-Retail Store</v>
      </c>
      <c r="O84">
        <f t="shared" si="29"/>
        <v>1083</v>
      </c>
    </row>
    <row r="85" spans="1:15" x14ac:dyDescent="0.35">
      <c r="A85" t="str">
        <f>Sales!A85</f>
        <v>ORD-1084</v>
      </c>
      <c r="B85" t="str">
        <f>Sales!D85</f>
        <v>Vikram Shah</v>
      </c>
      <c r="C85" t="str">
        <f>Sales!G85</f>
        <v>Wireless Mouse</v>
      </c>
      <c r="D85" t="str">
        <f>Sales!C85</f>
        <v>West</v>
      </c>
      <c r="E85" t="str">
        <f>Sales!E85</f>
        <v>Online</v>
      </c>
      <c r="F85" t="str">
        <f t="shared" si="20"/>
        <v>VIKRAM SHAH</v>
      </c>
      <c r="G85" t="str">
        <f t="shared" si="21"/>
        <v>vikram shah</v>
      </c>
      <c r="H85" t="str">
        <f t="shared" si="22"/>
        <v>Vikram Shah</v>
      </c>
      <c r="I85" t="str">
        <f t="shared" si="23"/>
        <v>ORD</v>
      </c>
      <c r="J85" t="str">
        <f t="shared" si="24"/>
        <v>1084</v>
      </c>
      <c r="K85">
        <f t="shared" si="25"/>
        <v>14</v>
      </c>
      <c r="L85" t="str">
        <f t="shared" si="26"/>
        <v>Wireless Mouse</v>
      </c>
      <c r="M85" t="str">
        <f t="shared" si="27"/>
        <v>West-Vikram Shah</v>
      </c>
      <c r="N85" t="str">
        <f t="shared" si="28"/>
        <v>West-Online</v>
      </c>
      <c r="O85">
        <f t="shared" si="29"/>
        <v>1084</v>
      </c>
    </row>
    <row r="86" spans="1:15" x14ac:dyDescent="0.35">
      <c r="A86" t="str">
        <f>Sales!A86</f>
        <v>ORD-1085</v>
      </c>
      <c r="B86" t="str">
        <f>Sales!D86</f>
        <v>Meera Sen</v>
      </c>
      <c r="C86" t="str">
        <f>Sales!G86</f>
        <v>Notebook Set</v>
      </c>
      <c r="D86" t="str">
        <f>Sales!C86</f>
        <v>East</v>
      </c>
      <c r="E86" t="str">
        <f>Sales!E86</f>
        <v>Online</v>
      </c>
      <c r="F86" t="str">
        <f t="shared" si="20"/>
        <v>MEERA SEN</v>
      </c>
      <c r="G86" t="str">
        <f t="shared" si="21"/>
        <v>meera sen</v>
      </c>
      <c r="H86" t="str">
        <f t="shared" si="22"/>
        <v>Meera Sen</v>
      </c>
      <c r="I86" t="str">
        <f t="shared" si="23"/>
        <v>ORD</v>
      </c>
      <c r="J86" t="str">
        <f t="shared" si="24"/>
        <v>1085</v>
      </c>
      <c r="K86">
        <f t="shared" si="25"/>
        <v>12</v>
      </c>
      <c r="L86" t="str">
        <f t="shared" si="26"/>
        <v>Notebook Set</v>
      </c>
      <c r="M86" t="str">
        <f t="shared" si="27"/>
        <v>East-Meera Sen</v>
      </c>
      <c r="N86" t="str">
        <f t="shared" si="28"/>
        <v>East-Online</v>
      </c>
      <c r="O86">
        <f t="shared" si="29"/>
        <v>1085</v>
      </c>
    </row>
    <row r="87" spans="1:15" x14ac:dyDescent="0.35">
      <c r="A87" t="str">
        <f>Sales!A87</f>
        <v>ORD-1086</v>
      </c>
      <c r="B87" t="str">
        <f>Sales!D87</f>
        <v>Meera Sen</v>
      </c>
      <c r="C87" t="str">
        <f>Sales!G87</f>
        <v>Office Chair</v>
      </c>
      <c r="D87" t="str">
        <f>Sales!C87</f>
        <v>East</v>
      </c>
      <c r="E87" t="str">
        <f>Sales!E87</f>
        <v>Retail Store</v>
      </c>
      <c r="F87" t="str">
        <f t="shared" si="20"/>
        <v>MEERA SEN</v>
      </c>
      <c r="G87" t="str">
        <f t="shared" si="21"/>
        <v>meera sen</v>
      </c>
      <c r="H87" t="str">
        <f t="shared" si="22"/>
        <v>Meera Sen</v>
      </c>
      <c r="I87" t="str">
        <f t="shared" si="23"/>
        <v>ORD</v>
      </c>
      <c r="J87" t="str">
        <f t="shared" si="24"/>
        <v>1086</v>
      </c>
      <c r="K87">
        <f t="shared" si="25"/>
        <v>12</v>
      </c>
      <c r="L87" t="str">
        <f t="shared" si="26"/>
        <v>Office Chair</v>
      </c>
      <c r="M87" t="str">
        <f t="shared" si="27"/>
        <v>East-Meera Sen</v>
      </c>
      <c r="N87" t="str">
        <f t="shared" si="28"/>
        <v>East-Retail Store</v>
      </c>
      <c r="O87">
        <f t="shared" si="29"/>
        <v>1086</v>
      </c>
    </row>
    <row r="88" spans="1:15" x14ac:dyDescent="0.35">
      <c r="A88" t="str">
        <f>Sales!A88</f>
        <v>ORD-1087</v>
      </c>
      <c r="B88" t="str">
        <f>Sales!D88</f>
        <v>Meera Sen</v>
      </c>
      <c r="C88" t="str">
        <f>Sales!G88</f>
        <v>Filing Cabinet</v>
      </c>
      <c r="D88" t="str">
        <f>Sales!C88</f>
        <v>East</v>
      </c>
      <c r="E88" t="str">
        <f>Sales!E88</f>
        <v>Online</v>
      </c>
      <c r="F88" t="str">
        <f t="shared" si="20"/>
        <v>MEERA SEN</v>
      </c>
      <c r="G88" t="str">
        <f t="shared" si="21"/>
        <v>meera sen</v>
      </c>
      <c r="H88" t="str">
        <f t="shared" si="22"/>
        <v>Meera Sen</v>
      </c>
      <c r="I88" t="str">
        <f t="shared" si="23"/>
        <v>ORD</v>
      </c>
      <c r="J88" t="str">
        <f t="shared" si="24"/>
        <v>1087</v>
      </c>
      <c r="K88">
        <f t="shared" si="25"/>
        <v>14</v>
      </c>
      <c r="L88" t="str">
        <f t="shared" si="26"/>
        <v>Filing Cabinet</v>
      </c>
      <c r="M88" t="str">
        <f t="shared" si="27"/>
        <v>East-Meera Sen</v>
      </c>
      <c r="N88" t="str">
        <f t="shared" si="28"/>
        <v>East-Online</v>
      </c>
      <c r="O88">
        <f t="shared" si="29"/>
        <v>1087</v>
      </c>
    </row>
    <row r="89" spans="1:15" x14ac:dyDescent="0.35">
      <c r="A89" t="str">
        <f>Sales!A89</f>
        <v>ORD-1088</v>
      </c>
      <c r="B89" t="str">
        <f>Sales!D89</f>
        <v>Rahul Iyer</v>
      </c>
      <c r="C89" t="str">
        <f>Sales!G89</f>
        <v>Notebook Set</v>
      </c>
      <c r="D89" t="str">
        <f>Sales!C89</f>
        <v>South</v>
      </c>
      <c r="E89" t="str">
        <f>Sales!E89</f>
        <v>Online</v>
      </c>
      <c r="F89" t="str">
        <f t="shared" si="20"/>
        <v>RAHUL IYER</v>
      </c>
      <c r="G89" t="str">
        <f t="shared" si="21"/>
        <v>rahul iyer</v>
      </c>
      <c r="H89" t="str">
        <f t="shared" si="22"/>
        <v>Rahul Iyer</v>
      </c>
      <c r="I89" t="str">
        <f t="shared" si="23"/>
        <v>ORD</v>
      </c>
      <c r="J89" t="str">
        <f t="shared" si="24"/>
        <v>1088</v>
      </c>
      <c r="K89">
        <f t="shared" si="25"/>
        <v>12</v>
      </c>
      <c r="L89" t="str">
        <f t="shared" si="26"/>
        <v>Notebook Set</v>
      </c>
      <c r="M89" t="str">
        <f t="shared" si="27"/>
        <v>South-Rahul Iyer</v>
      </c>
      <c r="N89" t="str">
        <f t="shared" si="28"/>
        <v>South-Online</v>
      </c>
      <c r="O89">
        <f t="shared" si="29"/>
        <v>1088</v>
      </c>
    </row>
    <row r="90" spans="1:15" x14ac:dyDescent="0.35">
      <c r="A90" t="str">
        <f>Sales!A90</f>
        <v>ORD-1089</v>
      </c>
      <c r="B90" t="str">
        <f>Sales!D90</f>
        <v>Ananya Joshi</v>
      </c>
      <c r="C90" t="str">
        <f>Sales!G90</f>
        <v>A4 Paper Ream</v>
      </c>
      <c r="D90" t="str">
        <f>Sales!C90</f>
        <v>West</v>
      </c>
      <c r="E90" t="str">
        <f>Sales!E90</f>
        <v>Retail Store</v>
      </c>
      <c r="F90" t="str">
        <f t="shared" si="20"/>
        <v>ANANYA JOSHI</v>
      </c>
      <c r="G90" t="str">
        <f t="shared" si="21"/>
        <v>ananya joshi</v>
      </c>
      <c r="H90" t="str">
        <f t="shared" si="22"/>
        <v>Ananya Joshi</v>
      </c>
      <c r="I90" t="str">
        <f t="shared" si="23"/>
        <v>ORD</v>
      </c>
      <c r="J90" t="str">
        <f t="shared" si="24"/>
        <v>1089</v>
      </c>
      <c r="K90">
        <f t="shared" si="25"/>
        <v>13</v>
      </c>
      <c r="L90" t="str">
        <f t="shared" si="26"/>
        <v>A4 Paper Ream</v>
      </c>
      <c r="M90" t="str">
        <f t="shared" si="27"/>
        <v>West-Ananya Joshi</v>
      </c>
      <c r="N90" t="str">
        <f t="shared" si="28"/>
        <v>West-Retail Store</v>
      </c>
      <c r="O90">
        <f t="shared" si="29"/>
        <v>1089</v>
      </c>
    </row>
    <row r="91" spans="1:15" x14ac:dyDescent="0.35">
      <c r="A91" t="str">
        <f>Sales!A91</f>
        <v>ORD-1090</v>
      </c>
      <c r="B91" t="str">
        <f>Sales!D91</f>
        <v>Vikram Shah</v>
      </c>
      <c r="C91" t="str">
        <f>Sales!G91</f>
        <v>Wireless Mouse</v>
      </c>
      <c r="D91" t="str">
        <f>Sales!C91</f>
        <v>West</v>
      </c>
      <c r="E91" t="str">
        <f>Sales!E91</f>
        <v>Retail Store</v>
      </c>
      <c r="F91" t="str">
        <f t="shared" si="20"/>
        <v>VIKRAM SHAH</v>
      </c>
      <c r="G91" t="str">
        <f t="shared" si="21"/>
        <v>vikram shah</v>
      </c>
      <c r="H91" t="str">
        <f t="shared" si="22"/>
        <v>Vikram Shah</v>
      </c>
      <c r="I91" t="str">
        <f t="shared" si="23"/>
        <v>ORD</v>
      </c>
      <c r="J91" t="str">
        <f t="shared" si="24"/>
        <v>1090</v>
      </c>
      <c r="K91">
        <f t="shared" si="25"/>
        <v>14</v>
      </c>
      <c r="L91" t="str">
        <f t="shared" si="26"/>
        <v>Wireless Mouse</v>
      </c>
      <c r="M91" t="str">
        <f t="shared" si="27"/>
        <v>West-Vikram Shah</v>
      </c>
      <c r="N91" t="str">
        <f t="shared" si="28"/>
        <v>West-Retail Store</v>
      </c>
      <c r="O91">
        <f t="shared" si="29"/>
        <v>1090</v>
      </c>
    </row>
    <row r="92" spans="1:15" x14ac:dyDescent="0.35">
      <c r="A92" t="str">
        <f>Sales!A92</f>
        <v>ORD-1091</v>
      </c>
      <c r="B92" t="str">
        <f>Sales!D92</f>
        <v>Sneha Rao</v>
      </c>
      <c r="C92" t="str">
        <f>Sales!G92</f>
        <v>Wireless Mouse</v>
      </c>
      <c r="D92" t="str">
        <f>Sales!C92</f>
        <v>South</v>
      </c>
      <c r="E92" t="str">
        <f>Sales!E92</f>
        <v>Retail Store</v>
      </c>
      <c r="F92" t="str">
        <f t="shared" si="20"/>
        <v>SNEHA RAO</v>
      </c>
      <c r="G92" t="str">
        <f t="shared" si="21"/>
        <v>sneha rao</v>
      </c>
      <c r="H92" t="str">
        <f t="shared" si="22"/>
        <v>Sneha Rao</v>
      </c>
      <c r="I92" t="str">
        <f t="shared" si="23"/>
        <v>ORD</v>
      </c>
      <c r="J92" t="str">
        <f t="shared" si="24"/>
        <v>1091</v>
      </c>
      <c r="K92">
        <f t="shared" si="25"/>
        <v>14</v>
      </c>
      <c r="L92" t="str">
        <f t="shared" si="26"/>
        <v>Wireless Mouse</v>
      </c>
      <c r="M92" t="str">
        <f t="shared" si="27"/>
        <v>South-Sneha Rao</v>
      </c>
      <c r="N92" t="str">
        <f t="shared" si="28"/>
        <v>South-Retail Store</v>
      </c>
      <c r="O92">
        <f t="shared" si="29"/>
        <v>1091</v>
      </c>
    </row>
    <row r="93" spans="1:15" x14ac:dyDescent="0.35">
      <c r="A93" t="str">
        <f>Sales!A93</f>
        <v>ORD-1092</v>
      </c>
      <c r="B93" t="str">
        <f>Sales!D93</f>
        <v>Meera Sen</v>
      </c>
      <c r="C93" t="str">
        <f>Sales!G93</f>
        <v>Noise Cancel Headset</v>
      </c>
      <c r="D93" t="str">
        <f>Sales!C93</f>
        <v>East</v>
      </c>
      <c r="E93" t="str">
        <f>Sales!E93</f>
        <v>Online</v>
      </c>
      <c r="F93" t="str">
        <f t="shared" si="20"/>
        <v>MEERA SEN</v>
      </c>
      <c r="G93" t="str">
        <f t="shared" si="21"/>
        <v>meera sen</v>
      </c>
      <c r="H93" t="str">
        <f t="shared" si="22"/>
        <v>Meera Sen</v>
      </c>
      <c r="I93" t="str">
        <f t="shared" si="23"/>
        <v>ORD</v>
      </c>
      <c r="J93" t="str">
        <f t="shared" si="24"/>
        <v>1092</v>
      </c>
      <c r="K93">
        <f t="shared" si="25"/>
        <v>20</v>
      </c>
      <c r="L93" t="str">
        <f t="shared" si="26"/>
        <v>Noise Cancel Headset</v>
      </c>
      <c r="M93" t="str">
        <f t="shared" si="27"/>
        <v>East-Meera Sen</v>
      </c>
      <c r="N93" t="str">
        <f t="shared" si="28"/>
        <v>East-Online</v>
      </c>
      <c r="O93">
        <f t="shared" si="29"/>
        <v>1092</v>
      </c>
    </row>
    <row r="94" spans="1:15" x14ac:dyDescent="0.35">
      <c r="A94" t="str">
        <f>Sales!A94</f>
        <v>ORD-1093</v>
      </c>
      <c r="B94" t="str">
        <f>Sales!D94</f>
        <v>Aarav Mehta</v>
      </c>
      <c r="C94" t="str">
        <f>Sales!G94</f>
        <v>Notebook Set</v>
      </c>
      <c r="D94" t="str">
        <f>Sales!C94</f>
        <v>North</v>
      </c>
      <c r="E94" t="str">
        <f>Sales!E94</f>
        <v>Online</v>
      </c>
      <c r="F94" t="str">
        <f t="shared" si="20"/>
        <v>AARAV MEHTA</v>
      </c>
      <c r="G94" t="str">
        <f t="shared" si="21"/>
        <v>aarav mehta</v>
      </c>
      <c r="H94" t="str">
        <f t="shared" si="22"/>
        <v>Aarav Mehta</v>
      </c>
      <c r="I94" t="str">
        <f t="shared" si="23"/>
        <v>ORD</v>
      </c>
      <c r="J94" t="str">
        <f t="shared" si="24"/>
        <v>1093</v>
      </c>
      <c r="K94">
        <f t="shared" si="25"/>
        <v>12</v>
      </c>
      <c r="L94" t="str">
        <f t="shared" si="26"/>
        <v>Notebook Set</v>
      </c>
      <c r="M94" t="str">
        <f t="shared" si="27"/>
        <v>North-Aarav Mehta</v>
      </c>
      <c r="N94" t="str">
        <f t="shared" si="28"/>
        <v>North-Online</v>
      </c>
      <c r="O94">
        <f t="shared" si="29"/>
        <v>1093</v>
      </c>
    </row>
    <row r="95" spans="1:15" x14ac:dyDescent="0.35">
      <c r="A95" t="str">
        <f>Sales!A95</f>
        <v>ORD-1094</v>
      </c>
      <c r="B95" t="str">
        <f>Sales!D95</f>
        <v>Vikram Shah</v>
      </c>
      <c r="C95" t="str">
        <f>Sales!G95</f>
        <v>Wireless Mouse</v>
      </c>
      <c r="D95" t="str">
        <f>Sales!C95</f>
        <v>West</v>
      </c>
      <c r="E95" t="str">
        <f>Sales!E95</f>
        <v>Partner</v>
      </c>
      <c r="F95" t="str">
        <f t="shared" si="20"/>
        <v>VIKRAM SHAH</v>
      </c>
      <c r="G95" t="str">
        <f t="shared" si="21"/>
        <v>vikram shah</v>
      </c>
      <c r="H95" t="str">
        <f t="shared" si="22"/>
        <v>Vikram Shah</v>
      </c>
      <c r="I95" t="str">
        <f t="shared" si="23"/>
        <v>ORD</v>
      </c>
      <c r="J95" t="str">
        <f t="shared" si="24"/>
        <v>1094</v>
      </c>
      <c r="K95">
        <f t="shared" si="25"/>
        <v>14</v>
      </c>
      <c r="L95" t="str">
        <f t="shared" si="26"/>
        <v>Wireless Mouse</v>
      </c>
      <c r="M95" t="str">
        <f t="shared" si="27"/>
        <v>West-Vikram Shah</v>
      </c>
      <c r="N95" t="str">
        <f t="shared" si="28"/>
        <v>West-Partner</v>
      </c>
      <c r="O95">
        <f t="shared" si="29"/>
        <v>1094</v>
      </c>
    </row>
    <row r="96" spans="1:15" x14ac:dyDescent="0.35">
      <c r="A96" t="str">
        <f>Sales!A96</f>
        <v>ORD-1095</v>
      </c>
      <c r="B96" t="str">
        <f>Sales!D96</f>
        <v>Ananya Joshi</v>
      </c>
      <c r="C96" t="str">
        <f>Sales!G96</f>
        <v>Wireless Mouse</v>
      </c>
      <c r="D96" t="str">
        <f>Sales!C96</f>
        <v>West</v>
      </c>
      <c r="E96" t="str">
        <f>Sales!E96</f>
        <v>Online</v>
      </c>
      <c r="F96" t="str">
        <f t="shared" si="20"/>
        <v>ANANYA JOSHI</v>
      </c>
      <c r="G96" t="str">
        <f t="shared" si="21"/>
        <v>ananya joshi</v>
      </c>
      <c r="H96" t="str">
        <f t="shared" si="22"/>
        <v>Ananya Joshi</v>
      </c>
      <c r="I96" t="str">
        <f t="shared" si="23"/>
        <v>ORD</v>
      </c>
      <c r="J96" t="str">
        <f t="shared" si="24"/>
        <v>1095</v>
      </c>
      <c r="K96">
        <f t="shared" si="25"/>
        <v>14</v>
      </c>
      <c r="L96" t="str">
        <f t="shared" si="26"/>
        <v>Wireless Mouse</v>
      </c>
      <c r="M96" t="str">
        <f t="shared" si="27"/>
        <v>West-Ananya Joshi</v>
      </c>
      <c r="N96" t="str">
        <f t="shared" si="28"/>
        <v>West-Online</v>
      </c>
      <c r="O96">
        <f t="shared" si="29"/>
        <v>1095</v>
      </c>
    </row>
    <row r="97" spans="1:15" x14ac:dyDescent="0.35">
      <c r="A97" t="str">
        <f>Sales!A97</f>
        <v>ORD-1096</v>
      </c>
      <c r="B97" t="str">
        <f>Sales!D97</f>
        <v>Ananya Joshi</v>
      </c>
      <c r="C97" t="str">
        <f>Sales!G97</f>
        <v>Notebook Set</v>
      </c>
      <c r="D97" t="str">
        <f>Sales!C97</f>
        <v>West</v>
      </c>
      <c r="E97" t="str">
        <f>Sales!E97</f>
        <v>Partner</v>
      </c>
      <c r="F97" t="str">
        <f t="shared" si="20"/>
        <v>ANANYA JOSHI</v>
      </c>
      <c r="G97" t="str">
        <f t="shared" si="21"/>
        <v>ananya joshi</v>
      </c>
      <c r="H97" t="str">
        <f t="shared" si="22"/>
        <v>Ananya Joshi</v>
      </c>
      <c r="I97" t="str">
        <f t="shared" si="23"/>
        <v>ORD</v>
      </c>
      <c r="J97" t="str">
        <f t="shared" si="24"/>
        <v>1096</v>
      </c>
      <c r="K97">
        <f t="shared" si="25"/>
        <v>12</v>
      </c>
      <c r="L97" t="str">
        <f t="shared" si="26"/>
        <v>Notebook Set</v>
      </c>
      <c r="M97" t="str">
        <f t="shared" si="27"/>
        <v>West-Ananya Joshi</v>
      </c>
      <c r="N97" t="str">
        <f t="shared" si="28"/>
        <v>West-Partner</v>
      </c>
      <c r="O97">
        <f t="shared" si="29"/>
        <v>1096</v>
      </c>
    </row>
    <row r="98" spans="1:15" x14ac:dyDescent="0.35">
      <c r="A98" t="str">
        <f>Sales!A98</f>
        <v>ORD-1097</v>
      </c>
      <c r="B98" t="str">
        <f>Sales!D98</f>
        <v>Meera Sen</v>
      </c>
      <c r="C98" t="str">
        <f>Sales!G98</f>
        <v>A4 Paper Ream</v>
      </c>
      <c r="D98" t="str">
        <f>Sales!C98</f>
        <v>East</v>
      </c>
      <c r="E98" t="str">
        <f>Sales!E98</f>
        <v>Online</v>
      </c>
      <c r="F98" t="str">
        <f t="shared" ref="F98:F121" si="30">UPPER(B98)</f>
        <v>MEERA SEN</v>
      </c>
      <c r="G98" t="str">
        <f t="shared" ref="G98:G121" si="31">LOWER(B98)</f>
        <v>meera sen</v>
      </c>
      <c r="H98" t="str">
        <f t="shared" ref="H98:H121" si="32">PROPER(B98)</f>
        <v>Meera Sen</v>
      </c>
      <c r="I98" t="str">
        <f t="shared" ref="I98:I121" si="33">LEFT(A98,3)</f>
        <v>ORD</v>
      </c>
      <c r="J98" t="str">
        <f t="shared" ref="J98:J121" si="34">RIGHT(A98,4)</f>
        <v>1097</v>
      </c>
      <c r="K98">
        <f t="shared" ref="K98:K121" si="35">LEN(C98)</f>
        <v>13</v>
      </c>
      <c r="L98" t="str">
        <f t="shared" ref="L98:L121" si="36">TRIM(C98)</f>
        <v>A4 Paper Ream</v>
      </c>
      <c r="M98" t="str">
        <f t="shared" ref="M98:M121" si="37">D98&amp;"-"&amp;B98</f>
        <v>East-Meera Sen</v>
      </c>
      <c r="N98" t="str">
        <f t="shared" ref="N98:N121" si="38">D98&amp;"-"&amp;E98</f>
        <v>East-Online</v>
      </c>
      <c r="O98">
        <f t="shared" ref="O98:O121" si="39">VALUE(MID(A98,FIND("-",A98)+1,LEN(A98)))</f>
        <v>1097</v>
      </c>
    </row>
    <row r="99" spans="1:15" x14ac:dyDescent="0.35">
      <c r="A99" t="str">
        <f>Sales!A99</f>
        <v>ORD-1098</v>
      </c>
      <c r="B99" t="str">
        <f>Sales!D99</f>
        <v>Meera Sen</v>
      </c>
      <c r="C99" t="str">
        <f>Sales!G99</f>
        <v>Notebook Set</v>
      </c>
      <c r="D99" t="str">
        <f>Sales!C99</f>
        <v>East</v>
      </c>
      <c r="E99" t="str">
        <f>Sales!E99</f>
        <v>Online</v>
      </c>
      <c r="F99" t="str">
        <f t="shared" si="30"/>
        <v>MEERA SEN</v>
      </c>
      <c r="G99" t="str">
        <f t="shared" si="31"/>
        <v>meera sen</v>
      </c>
      <c r="H99" t="str">
        <f t="shared" si="32"/>
        <v>Meera Sen</v>
      </c>
      <c r="I99" t="str">
        <f t="shared" si="33"/>
        <v>ORD</v>
      </c>
      <c r="J99" t="str">
        <f t="shared" si="34"/>
        <v>1098</v>
      </c>
      <c r="K99">
        <f t="shared" si="35"/>
        <v>12</v>
      </c>
      <c r="L99" t="str">
        <f t="shared" si="36"/>
        <v>Notebook Set</v>
      </c>
      <c r="M99" t="str">
        <f t="shared" si="37"/>
        <v>East-Meera Sen</v>
      </c>
      <c r="N99" t="str">
        <f t="shared" si="38"/>
        <v>East-Online</v>
      </c>
      <c r="O99">
        <f t="shared" si="39"/>
        <v>1098</v>
      </c>
    </row>
    <row r="100" spans="1:15" x14ac:dyDescent="0.35">
      <c r="A100" t="str">
        <f>Sales!A100</f>
        <v>ORD-1099</v>
      </c>
      <c r="B100" t="str">
        <f>Sales!D100</f>
        <v>Vikram Shah</v>
      </c>
      <c r="C100" t="str">
        <f>Sales!G100</f>
        <v>Notebook Set</v>
      </c>
      <c r="D100" t="str">
        <f>Sales!C100</f>
        <v>West</v>
      </c>
      <c r="E100" t="str">
        <f>Sales!E100</f>
        <v>Retail Store</v>
      </c>
      <c r="F100" t="str">
        <f t="shared" si="30"/>
        <v>VIKRAM SHAH</v>
      </c>
      <c r="G100" t="str">
        <f t="shared" si="31"/>
        <v>vikram shah</v>
      </c>
      <c r="H100" t="str">
        <f t="shared" si="32"/>
        <v>Vikram Shah</v>
      </c>
      <c r="I100" t="str">
        <f t="shared" si="33"/>
        <v>ORD</v>
      </c>
      <c r="J100" t="str">
        <f t="shared" si="34"/>
        <v>1099</v>
      </c>
      <c r="K100">
        <f t="shared" si="35"/>
        <v>12</v>
      </c>
      <c r="L100" t="str">
        <f t="shared" si="36"/>
        <v>Notebook Set</v>
      </c>
      <c r="M100" t="str">
        <f t="shared" si="37"/>
        <v>West-Vikram Shah</v>
      </c>
      <c r="N100" t="str">
        <f t="shared" si="38"/>
        <v>West-Retail Store</v>
      </c>
      <c r="O100">
        <f t="shared" si="39"/>
        <v>1099</v>
      </c>
    </row>
    <row r="101" spans="1:15" x14ac:dyDescent="0.35">
      <c r="A101" t="str">
        <f>Sales!A101</f>
        <v>ORD-1100</v>
      </c>
      <c r="B101" t="str">
        <f>Sales!D101</f>
        <v>Rahul Iyer</v>
      </c>
      <c r="C101" t="str">
        <f>Sales!G101</f>
        <v>Standing Desk</v>
      </c>
      <c r="D101" t="str">
        <f>Sales!C101</f>
        <v>South</v>
      </c>
      <c r="E101" t="str">
        <f>Sales!E101</f>
        <v>Partner</v>
      </c>
      <c r="F101" t="str">
        <f t="shared" si="30"/>
        <v>RAHUL IYER</v>
      </c>
      <c r="G101" t="str">
        <f t="shared" si="31"/>
        <v>rahul iyer</v>
      </c>
      <c r="H101" t="str">
        <f t="shared" si="32"/>
        <v>Rahul Iyer</v>
      </c>
      <c r="I101" t="str">
        <f t="shared" si="33"/>
        <v>ORD</v>
      </c>
      <c r="J101" t="str">
        <f t="shared" si="34"/>
        <v>1100</v>
      </c>
      <c r="K101">
        <f t="shared" si="35"/>
        <v>13</v>
      </c>
      <c r="L101" t="str">
        <f t="shared" si="36"/>
        <v>Standing Desk</v>
      </c>
      <c r="M101" t="str">
        <f t="shared" si="37"/>
        <v>South-Rahul Iyer</v>
      </c>
      <c r="N101" t="str">
        <f t="shared" si="38"/>
        <v>South-Partner</v>
      </c>
      <c r="O101">
        <f t="shared" si="39"/>
        <v>1100</v>
      </c>
    </row>
    <row r="102" spans="1:15" x14ac:dyDescent="0.35">
      <c r="A102" t="str">
        <f>Sales!A102</f>
        <v>ORD-1101</v>
      </c>
      <c r="B102" t="str">
        <f>Sales!D102</f>
        <v>Meera Sen</v>
      </c>
      <c r="C102" t="str">
        <f>Sales!G102</f>
        <v>Gel Pen Pack</v>
      </c>
      <c r="D102" t="str">
        <f>Sales!C102</f>
        <v>East</v>
      </c>
      <c r="E102" t="str">
        <f>Sales!E102</f>
        <v>Online</v>
      </c>
      <c r="F102" t="str">
        <f t="shared" si="30"/>
        <v>MEERA SEN</v>
      </c>
      <c r="G102" t="str">
        <f t="shared" si="31"/>
        <v>meera sen</v>
      </c>
      <c r="H102" t="str">
        <f t="shared" si="32"/>
        <v>Meera Sen</v>
      </c>
      <c r="I102" t="str">
        <f t="shared" si="33"/>
        <v>ORD</v>
      </c>
      <c r="J102" t="str">
        <f t="shared" si="34"/>
        <v>1101</v>
      </c>
      <c r="K102">
        <f t="shared" si="35"/>
        <v>12</v>
      </c>
      <c r="L102" t="str">
        <f t="shared" si="36"/>
        <v>Gel Pen Pack</v>
      </c>
      <c r="M102" t="str">
        <f t="shared" si="37"/>
        <v>East-Meera Sen</v>
      </c>
      <c r="N102" t="str">
        <f t="shared" si="38"/>
        <v>East-Online</v>
      </c>
      <c r="O102">
        <f t="shared" si="39"/>
        <v>1101</v>
      </c>
    </row>
    <row r="103" spans="1:15" x14ac:dyDescent="0.35">
      <c r="A103" t="str">
        <f>Sales!A103</f>
        <v>ORD-1102</v>
      </c>
      <c r="B103" t="str">
        <f>Sales!D103</f>
        <v>Ananya Joshi</v>
      </c>
      <c r="C103" t="str">
        <f>Sales!G103</f>
        <v>Standing Desk</v>
      </c>
      <c r="D103" t="str">
        <f>Sales!C103</f>
        <v>West</v>
      </c>
      <c r="E103" t="str">
        <f>Sales!E103</f>
        <v>Partner</v>
      </c>
      <c r="F103" t="str">
        <f t="shared" si="30"/>
        <v>ANANYA JOSHI</v>
      </c>
      <c r="G103" t="str">
        <f t="shared" si="31"/>
        <v>ananya joshi</v>
      </c>
      <c r="H103" t="str">
        <f t="shared" si="32"/>
        <v>Ananya Joshi</v>
      </c>
      <c r="I103" t="str">
        <f t="shared" si="33"/>
        <v>ORD</v>
      </c>
      <c r="J103" t="str">
        <f t="shared" si="34"/>
        <v>1102</v>
      </c>
      <c r="K103">
        <f t="shared" si="35"/>
        <v>13</v>
      </c>
      <c r="L103" t="str">
        <f t="shared" si="36"/>
        <v>Standing Desk</v>
      </c>
      <c r="M103" t="str">
        <f t="shared" si="37"/>
        <v>West-Ananya Joshi</v>
      </c>
      <c r="N103" t="str">
        <f t="shared" si="38"/>
        <v>West-Partner</v>
      </c>
      <c r="O103">
        <f t="shared" si="39"/>
        <v>1102</v>
      </c>
    </row>
    <row r="104" spans="1:15" x14ac:dyDescent="0.35">
      <c r="A104" t="str">
        <f>Sales!A104</f>
        <v>ORD-1103</v>
      </c>
      <c r="B104" t="str">
        <f>Sales!D104</f>
        <v>Vikram Shah</v>
      </c>
      <c r="C104" t="str">
        <f>Sales!G104</f>
        <v>Gel Pen Pack</v>
      </c>
      <c r="D104" t="str">
        <f>Sales!C104</f>
        <v>West</v>
      </c>
      <c r="E104" t="str">
        <f>Sales!E104</f>
        <v>Online</v>
      </c>
      <c r="F104" t="str">
        <f t="shared" si="30"/>
        <v>VIKRAM SHAH</v>
      </c>
      <c r="G104" t="str">
        <f t="shared" si="31"/>
        <v>vikram shah</v>
      </c>
      <c r="H104" t="str">
        <f t="shared" si="32"/>
        <v>Vikram Shah</v>
      </c>
      <c r="I104" t="str">
        <f t="shared" si="33"/>
        <v>ORD</v>
      </c>
      <c r="J104" t="str">
        <f t="shared" si="34"/>
        <v>1103</v>
      </c>
      <c r="K104">
        <f t="shared" si="35"/>
        <v>12</v>
      </c>
      <c r="L104" t="str">
        <f t="shared" si="36"/>
        <v>Gel Pen Pack</v>
      </c>
      <c r="M104" t="str">
        <f t="shared" si="37"/>
        <v>West-Vikram Shah</v>
      </c>
      <c r="N104" t="str">
        <f t="shared" si="38"/>
        <v>West-Online</v>
      </c>
      <c r="O104">
        <f t="shared" si="39"/>
        <v>1103</v>
      </c>
    </row>
    <row r="105" spans="1:15" x14ac:dyDescent="0.35">
      <c r="A105" t="str">
        <f>Sales!A105</f>
        <v>ORD-1104</v>
      </c>
      <c r="B105" t="str">
        <f>Sales!D105</f>
        <v>Aarav Mehta</v>
      </c>
      <c r="C105" t="str">
        <f>Sales!G105</f>
        <v>Laptop Pro 14</v>
      </c>
      <c r="D105" t="str">
        <f>Sales!C105</f>
        <v>North</v>
      </c>
      <c r="E105" t="str">
        <f>Sales!E105</f>
        <v>Online</v>
      </c>
      <c r="F105" t="str">
        <f t="shared" si="30"/>
        <v>AARAV MEHTA</v>
      </c>
      <c r="G105" t="str">
        <f t="shared" si="31"/>
        <v>aarav mehta</v>
      </c>
      <c r="H105" t="str">
        <f t="shared" si="32"/>
        <v>Aarav Mehta</v>
      </c>
      <c r="I105" t="str">
        <f t="shared" si="33"/>
        <v>ORD</v>
      </c>
      <c r="J105" t="str">
        <f t="shared" si="34"/>
        <v>1104</v>
      </c>
      <c r="K105">
        <f t="shared" si="35"/>
        <v>13</v>
      </c>
      <c r="L105" t="str">
        <f t="shared" si="36"/>
        <v>Laptop Pro 14</v>
      </c>
      <c r="M105" t="str">
        <f t="shared" si="37"/>
        <v>North-Aarav Mehta</v>
      </c>
      <c r="N105" t="str">
        <f t="shared" si="38"/>
        <v>North-Online</v>
      </c>
      <c r="O105">
        <f t="shared" si="39"/>
        <v>1104</v>
      </c>
    </row>
    <row r="106" spans="1:15" x14ac:dyDescent="0.35">
      <c r="A106" t="str">
        <f>Sales!A106</f>
        <v>ORD-1105</v>
      </c>
      <c r="B106" t="str">
        <f>Sales!D106</f>
        <v>Aarav Mehta</v>
      </c>
      <c r="C106" t="str">
        <f>Sales!G106</f>
        <v>Noise Cancel Headset</v>
      </c>
      <c r="D106" t="str">
        <f>Sales!C106</f>
        <v>North</v>
      </c>
      <c r="E106" t="str">
        <f>Sales!E106</f>
        <v>Online</v>
      </c>
      <c r="F106" t="str">
        <f t="shared" si="30"/>
        <v>AARAV MEHTA</v>
      </c>
      <c r="G106" t="str">
        <f t="shared" si="31"/>
        <v>aarav mehta</v>
      </c>
      <c r="H106" t="str">
        <f t="shared" si="32"/>
        <v>Aarav Mehta</v>
      </c>
      <c r="I106" t="str">
        <f t="shared" si="33"/>
        <v>ORD</v>
      </c>
      <c r="J106" t="str">
        <f t="shared" si="34"/>
        <v>1105</v>
      </c>
      <c r="K106">
        <f t="shared" si="35"/>
        <v>20</v>
      </c>
      <c r="L106" t="str">
        <f t="shared" si="36"/>
        <v>Noise Cancel Headset</v>
      </c>
      <c r="M106" t="str">
        <f t="shared" si="37"/>
        <v>North-Aarav Mehta</v>
      </c>
      <c r="N106" t="str">
        <f t="shared" si="38"/>
        <v>North-Online</v>
      </c>
      <c r="O106">
        <f t="shared" si="39"/>
        <v>1105</v>
      </c>
    </row>
    <row r="107" spans="1:15" x14ac:dyDescent="0.35">
      <c r="A107" t="str">
        <f>Sales!A107</f>
        <v>ORD-1106</v>
      </c>
      <c r="B107" t="str">
        <f>Sales!D107</f>
        <v>Kabir Das</v>
      </c>
      <c r="C107" t="str">
        <f>Sales!G107</f>
        <v>Standing Desk</v>
      </c>
      <c r="D107" t="str">
        <f>Sales!C107</f>
        <v>East</v>
      </c>
      <c r="E107" t="str">
        <f>Sales!E107</f>
        <v>Retail Store</v>
      </c>
      <c r="F107" t="str">
        <f t="shared" si="30"/>
        <v>KABIR DAS</v>
      </c>
      <c r="G107" t="str">
        <f t="shared" si="31"/>
        <v>kabir das</v>
      </c>
      <c r="H107" t="str">
        <f t="shared" si="32"/>
        <v>Kabir Das</v>
      </c>
      <c r="I107" t="str">
        <f t="shared" si="33"/>
        <v>ORD</v>
      </c>
      <c r="J107" t="str">
        <f t="shared" si="34"/>
        <v>1106</v>
      </c>
      <c r="K107">
        <f t="shared" si="35"/>
        <v>13</v>
      </c>
      <c r="L107" t="str">
        <f t="shared" si="36"/>
        <v>Standing Desk</v>
      </c>
      <c r="M107" t="str">
        <f t="shared" si="37"/>
        <v>East-Kabir Das</v>
      </c>
      <c r="N107" t="str">
        <f t="shared" si="38"/>
        <v>East-Retail Store</v>
      </c>
      <c r="O107">
        <f t="shared" si="39"/>
        <v>1106</v>
      </c>
    </row>
    <row r="108" spans="1:15" x14ac:dyDescent="0.35">
      <c r="A108" t="str">
        <f>Sales!A108</f>
        <v>ORD-1107</v>
      </c>
      <c r="B108" t="str">
        <f>Sales!D108</f>
        <v>Meera Sen</v>
      </c>
      <c r="C108" t="str">
        <f>Sales!G108</f>
        <v>Notebook Set</v>
      </c>
      <c r="D108" t="str">
        <f>Sales!C108</f>
        <v>East</v>
      </c>
      <c r="E108" t="str">
        <f>Sales!E108</f>
        <v>Retail Store</v>
      </c>
      <c r="F108" t="str">
        <f t="shared" si="30"/>
        <v>MEERA SEN</v>
      </c>
      <c r="G108" t="str">
        <f t="shared" si="31"/>
        <v>meera sen</v>
      </c>
      <c r="H108" t="str">
        <f t="shared" si="32"/>
        <v>Meera Sen</v>
      </c>
      <c r="I108" t="str">
        <f t="shared" si="33"/>
        <v>ORD</v>
      </c>
      <c r="J108" t="str">
        <f t="shared" si="34"/>
        <v>1107</v>
      </c>
      <c r="K108">
        <f t="shared" si="35"/>
        <v>12</v>
      </c>
      <c r="L108" t="str">
        <f t="shared" si="36"/>
        <v>Notebook Set</v>
      </c>
      <c r="M108" t="str">
        <f t="shared" si="37"/>
        <v>East-Meera Sen</v>
      </c>
      <c r="N108" t="str">
        <f t="shared" si="38"/>
        <v>East-Retail Store</v>
      </c>
      <c r="O108">
        <f t="shared" si="39"/>
        <v>1107</v>
      </c>
    </row>
    <row r="109" spans="1:15" x14ac:dyDescent="0.35">
      <c r="A109" t="str">
        <f>Sales!A109</f>
        <v>ORD-1108</v>
      </c>
      <c r="B109" t="str">
        <f>Sales!D109</f>
        <v>Ananya Joshi</v>
      </c>
      <c r="C109" t="str">
        <f>Sales!G109</f>
        <v>Gel Pen Pack</v>
      </c>
      <c r="D109" t="str">
        <f>Sales!C109</f>
        <v>West</v>
      </c>
      <c r="E109" t="str">
        <f>Sales!E109</f>
        <v>Partner</v>
      </c>
      <c r="F109" t="str">
        <f t="shared" si="30"/>
        <v>ANANYA JOSHI</v>
      </c>
      <c r="G109" t="str">
        <f t="shared" si="31"/>
        <v>ananya joshi</v>
      </c>
      <c r="H109" t="str">
        <f t="shared" si="32"/>
        <v>Ananya Joshi</v>
      </c>
      <c r="I109" t="str">
        <f t="shared" si="33"/>
        <v>ORD</v>
      </c>
      <c r="J109" t="str">
        <f t="shared" si="34"/>
        <v>1108</v>
      </c>
      <c r="K109">
        <f t="shared" si="35"/>
        <v>12</v>
      </c>
      <c r="L109" t="str">
        <f t="shared" si="36"/>
        <v>Gel Pen Pack</v>
      </c>
      <c r="M109" t="str">
        <f t="shared" si="37"/>
        <v>West-Ananya Joshi</v>
      </c>
      <c r="N109" t="str">
        <f t="shared" si="38"/>
        <v>West-Partner</v>
      </c>
      <c r="O109">
        <f t="shared" si="39"/>
        <v>1108</v>
      </c>
    </row>
    <row r="110" spans="1:15" x14ac:dyDescent="0.35">
      <c r="A110" t="str">
        <f>Sales!A110</f>
        <v>ORD-1109</v>
      </c>
      <c r="B110" t="str">
        <f>Sales!D110</f>
        <v>Ananya Joshi</v>
      </c>
      <c r="C110" t="str">
        <f>Sales!G110</f>
        <v>Noise Cancel Headset</v>
      </c>
      <c r="D110" t="str">
        <f>Sales!C110</f>
        <v>West</v>
      </c>
      <c r="E110" t="str">
        <f>Sales!E110</f>
        <v>Online</v>
      </c>
      <c r="F110" t="str">
        <f t="shared" si="30"/>
        <v>ANANYA JOSHI</v>
      </c>
      <c r="G110" t="str">
        <f t="shared" si="31"/>
        <v>ananya joshi</v>
      </c>
      <c r="H110" t="str">
        <f t="shared" si="32"/>
        <v>Ananya Joshi</v>
      </c>
      <c r="I110" t="str">
        <f t="shared" si="33"/>
        <v>ORD</v>
      </c>
      <c r="J110" t="str">
        <f t="shared" si="34"/>
        <v>1109</v>
      </c>
      <c r="K110">
        <f t="shared" si="35"/>
        <v>20</v>
      </c>
      <c r="L110" t="str">
        <f t="shared" si="36"/>
        <v>Noise Cancel Headset</v>
      </c>
      <c r="M110" t="str">
        <f t="shared" si="37"/>
        <v>West-Ananya Joshi</v>
      </c>
      <c r="N110" t="str">
        <f t="shared" si="38"/>
        <v>West-Online</v>
      </c>
      <c r="O110">
        <f t="shared" si="39"/>
        <v>1109</v>
      </c>
    </row>
    <row r="111" spans="1:15" x14ac:dyDescent="0.35">
      <c r="A111" t="str">
        <f>Sales!A111</f>
        <v>ORD-1110</v>
      </c>
      <c r="B111" t="str">
        <f>Sales!D111</f>
        <v>Ananya Joshi</v>
      </c>
      <c r="C111" t="str">
        <f>Sales!G111</f>
        <v>Filing Cabinet</v>
      </c>
      <c r="D111" t="str">
        <f>Sales!C111</f>
        <v>West</v>
      </c>
      <c r="E111" t="str">
        <f>Sales!E111</f>
        <v>Partner</v>
      </c>
      <c r="F111" t="str">
        <f t="shared" si="30"/>
        <v>ANANYA JOSHI</v>
      </c>
      <c r="G111" t="str">
        <f t="shared" si="31"/>
        <v>ananya joshi</v>
      </c>
      <c r="H111" t="str">
        <f t="shared" si="32"/>
        <v>Ananya Joshi</v>
      </c>
      <c r="I111" t="str">
        <f t="shared" si="33"/>
        <v>ORD</v>
      </c>
      <c r="J111" t="str">
        <f t="shared" si="34"/>
        <v>1110</v>
      </c>
      <c r="K111">
        <f t="shared" si="35"/>
        <v>14</v>
      </c>
      <c r="L111" t="str">
        <f t="shared" si="36"/>
        <v>Filing Cabinet</v>
      </c>
      <c r="M111" t="str">
        <f t="shared" si="37"/>
        <v>West-Ananya Joshi</v>
      </c>
      <c r="N111" t="str">
        <f t="shared" si="38"/>
        <v>West-Partner</v>
      </c>
      <c r="O111">
        <f t="shared" si="39"/>
        <v>1110</v>
      </c>
    </row>
    <row r="112" spans="1:15" x14ac:dyDescent="0.35">
      <c r="A112" t="str">
        <f>Sales!A112</f>
        <v>ORD-1111</v>
      </c>
      <c r="B112" t="str">
        <f>Sales!D112</f>
        <v>Priya Nair</v>
      </c>
      <c r="C112" t="str">
        <f>Sales!G112</f>
        <v>Wireless Mouse</v>
      </c>
      <c r="D112" t="str">
        <f>Sales!C112</f>
        <v>North</v>
      </c>
      <c r="E112" t="str">
        <f>Sales!E112</f>
        <v>Retail Store</v>
      </c>
      <c r="F112" t="str">
        <f t="shared" si="30"/>
        <v>PRIYA NAIR</v>
      </c>
      <c r="G112" t="str">
        <f t="shared" si="31"/>
        <v>priya nair</v>
      </c>
      <c r="H112" t="str">
        <f t="shared" si="32"/>
        <v>Priya Nair</v>
      </c>
      <c r="I112" t="str">
        <f t="shared" si="33"/>
        <v>ORD</v>
      </c>
      <c r="J112" t="str">
        <f t="shared" si="34"/>
        <v>1111</v>
      </c>
      <c r="K112">
        <f t="shared" si="35"/>
        <v>14</v>
      </c>
      <c r="L112" t="str">
        <f t="shared" si="36"/>
        <v>Wireless Mouse</v>
      </c>
      <c r="M112" t="str">
        <f t="shared" si="37"/>
        <v>North-Priya Nair</v>
      </c>
      <c r="N112" t="str">
        <f t="shared" si="38"/>
        <v>North-Retail Store</v>
      </c>
      <c r="O112">
        <f t="shared" si="39"/>
        <v>1111</v>
      </c>
    </row>
    <row r="113" spans="1:15" x14ac:dyDescent="0.35">
      <c r="A113" t="str">
        <f>Sales!A113</f>
        <v>ORD-1112</v>
      </c>
      <c r="B113" t="str">
        <f>Sales!D113</f>
        <v>Vikram Shah</v>
      </c>
      <c r="C113" t="str">
        <f>Sales!G113</f>
        <v>Filing Cabinet</v>
      </c>
      <c r="D113" t="str">
        <f>Sales!C113</f>
        <v>West</v>
      </c>
      <c r="E113" t="str">
        <f>Sales!E113</f>
        <v>Online</v>
      </c>
      <c r="F113" t="str">
        <f t="shared" si="30"/>
        <v>VIKRAM SHAH</v>
      </c>
      <c r="G113" t="str">
        <f t="shared" si="31"/>
        <v>vikram shah</v>
      </c>
      <c r="H113" t="str">
        <f t="shared" si="32"/>
        <v>Vikram Shah</v>
      </c>
      <c r="I113" t="str">
        <f t="shared" si="33"/>
        <v>ORD</v>
      </c>
      <c r="J113" t="str">
        <f t="shared" si="34"/>
        <v>1112</v>
      </c>
      <c r="K113">
        <f t="shared" si="35"/>
        <v>14</v>
      </c>
      <c r="L113" t="str">
        <f t="shared" si="36"/>
        <v>Filing Cabinet</v>
      </c>
      <c r="M113" t="str">
        <f t="shared" si="37"/>
        <v>West-Vikram Shah</v>
      </c>
      <c r="N113" t="str">
        <f t="shared" si="38"/>
        <v>West-Online</v>
      </c>
      <c r="O113">
        <f t="shared" si="39"/>
        <v>1112</v>
      </c>
    </row>
    <row r="114" spans="1:15" x14ac:dyDescent="0.35">
      <c r="A114" t="str">
        <f>Sales!A114</f>
        <v>ORD-1113</v>
      </c>
      <c r="B114" t="str">
        <f>Sales!D114</f>
        <v>Meera Sen</v>
      </c>
      <c r="C114" t="str">
        <f>Sales!G114</f>
        <v>Wireless Mouse</v>
      </c>
      <c r="D114" t="str">
        <f>Sales!C114</f>
        <v>East</v>
      </c>
      <c r="E114" t="str">
        <f>Sales!E114</f>
        <v>Retail Store</v>
      </c>
      <c r="F114" t="str">
        <f t="shared" si="30"/>
        <v>MEERA SEN</v>
      </c>
      <c r="G114" t="str">
        <f t="shared" si="31"/>
        <v>meera sen</v>
      </c>
      <c r="H114" t="str">
        <f t="shared" si="32"/>
        <v>Meera Sen</v>
      </c>
      <c r="I114" t="str">
        <f t="shared" si="33"/>
        <v>ORD</v>
      </c>
      <c r="J114" t="str">
        <f t="shared" si="34"/>
        <v>1113</v>
      </c>
      <c r="K114">
        <f t="shared" si="35"/>
        <v>14</v>
      </c>
      <c r="L114" t="str">
        <f t="shared" si="36"/>
        <v>Wireless Mouse</v>
      </c>
      <c r="M114" t="str">
        <f t="shared" si="37"/>
        <v>East-Meera Sen</v>
      </c>
      <c r="N114" t="str">
        <f t="shared" si="38"/>
        <v>East-Retail Store</v>
      </c>
      <c r="O114">
        <f t="shared" si="39"/>
        <v>1113</v>
      </c>
    </row>
    <row r="115" spans="1:15" x14ac:dyDescent="0.35">
      <c r="A115" t="str">
        <f>Sales!A115</f>
        <v>ORD-1114</v>
      </c>
      <c r="B115" t="str">
        <f>Sales!D115</f>
        <v>Meera Sen</v>
      </c>
      <c r="C115" t="str">
        <f>Sales!G115</f>
        <v>Standing Desk</v>
      </c>
      <c r="D115" t="str">
        <f>Sales!C115</f>
        <v>East</v>
      </c>
      <c r="E115" t="str">
        <f>Sales!E115</f>
        <v>Online</v>
      </c>
      <c r="F115" t="str">
        <f t="shared" si="30"/>
        <v>MEERA SEN</v>
      </c>
      <c r="G115" t="str">
        <f t="shared" si="31"/>
        <v>meera sen</v>
      </c>
      <c r="H115" t="str">
        <f t="shared" si="32"/>
        <v>Meera Sen</v>
      </c>
      <c r="I115" t="str">
        <f t="shared" si="33"/>
        <v>ORD</v>
      </c>
      <c r="J115" t="str">
        <f t="shared" si="34"/>
        <v>1114</v>
      </c>
      <c r="K115">
        <f t="shared" si="35"/>
        <v>13</v>
      </c>
      <c r="L115" t="str">
        <f t="shared" si="36"/>
        <v>Standing Desk</v>
      </c>
      <c r="M115" t="str">
        <f t="shared" si="37"/>
        <v>East-Meera Sen</v>
      </c>
      <c r="N115" t="str">
        <f t="shared" si="38"/>
        <v>East-Online</v>
      </c>
      <c r="O115">
        <f t="shared" si="39"/>
        <v>1114</v>
      </c>
    </row>
    <row r="116" spans="1:15" x14ac:dyDescent="0.35">
      <c r="A116" t="str">
        <f>Sales!A116</f>
        <v>ORD-1115</v>
      </c>
      <c r="B116" t="str">
        <f>Sales!D116</f>
        <v>Aarav Mehta</v>
      </c>
      <c r="C116" t="str">
        <f>Sales!G116</f>
        <v>Filing Cabinet</v>
      </c>
      <c r="D116" t="str">
        <f>Sales!C116</f>
        <v>North</v>
      </c>
      <c r="E116" t="str">
        <f>Sales!E116</f>
        <v>Retail Store</v>
      </c>
      <c r="F116" t="str">
        <f t="shared" si="30"/>
        <v>AARAV MEHTA</v>
      </c>
      <c r="G116" t="str">
        <f t="shared" si="31"/>
        <v>aarav mehta</v>
      </c>
      <c r="H116" t="str">
        <f t="shared" si="32"/>
        <v>Aarav Mehta</v>
      </c>
      <c r="I116" t="str">
        <f t="shared" si="33"/>
        <v>ORD</v>
      </c>
      <c r="J116" t="str">
        <f t="shared" si="34"/>
        <v>1115</v>
      </c>
      <c r="K116">
        <f t="shared" si="35"/>
        <v>14</v>
      </c>
      <c r="L116" t="str">
        <f t="shared" si="36"/>
        <v>Filing Cabinet</v>
      </c>
      <c r="M116" t="str">
        <f t="shared" si="37"/>
        <v>North-Aarav Mehta</v>
      </c>
      <c r="N116" t="str">
        <f t="shared" si="38"/>
        <v>North-Retail Store</v>
      </c>
      <c r="O116">
        <f t="shared" si="39"/>
        <v>1115</v>
      </c>
    </row>
    <row r="117" spans="1:15" x14ac:dyDescent="0.35">
      <c r="A117" t="str">
        <f>Sales!A117</f>
        <v>ORD-1116</v>
      </c>
      <c r="B117" t="str">
        <f>Sales!D117</f>
        <v>Ananya Joshi</v>
      </c>
      <c r="C117" t="str">
        <f>Sales!G117</f>
        <v>Filing Cabinet</v>
      </c>
      <c r="D117" t="str">
        <f>Sales!C117</f>
        <v>West</v>
      </c>
      <c r="E117" t="str">
        <f>Sales!E117</f>
        <v>Online</v>
      </c>
      <c r="F117" t="str">
        <f t="shared" si="30"/>
        <v>ANANYA JOSHI</v>
      </c>
      <c r="G117" t="str">
        <f t="shared" si="31"/>
        <v>ananya joshi</v>
      </c>
      <c r="H117" t="str">
        <f t="shared" si="32"/>
        <v>Ananya Joshi</v>
      </c>
      <c r="I117" t="str">
        <f t="shared" si="33"/>
        <v>ORD</v>
      </c>
      <c r="J117" t="str">
        <f t="shared" si="34"/>
        <v>1116</v>
      </c>
      <c r="K117">
        <f t="shared" si="35"/>
        <v>14</v>
      </c>
      <c r="L117" t="str">
        <f t="shared" si="36"/>
        <v>Filing Cabinet</v>
      </c>
      <c r="M117" t="str">
        <f t="shared" si="37"/>
        <v>West-Ananya Joshi</v>
      </c>
      <c r="N117" t="str">
        <f t="shared" si="38"/>
        <v>West-Online</v>
      </c>
      <c r="O117">
        <f t="shared" si="39"/>
        <v>1116</v>
      </c>
    </row>
    <row r="118" spans="1:15" x14ac:dyDescent="0.35">
      <c r="A118" t="str">
        <f>Sales!A118</f>
        <v>ORD-1117</v>
      </c>
      <c r="B118" t="str">
        <f>Sales!D118</f>
        <v>Priya Nair</v>
      </c>
      <c r="C118" t="str">
        <f>Sales!G118</f>
        <v>Filing Cabinet</v>
      </c>
      <c r="D118" t="str">
        <f>Sales!C118</f>
        <v>North</v>
      </c>
      <c r="E118" t="str">
        <f>Sales!E118</f>
        <v>Retail Store</v>
      </c>
      <c r="F118" t="str">
        <f t="shared" si="30"/>
        <v>PRIYA NAIR</v>
      </c>
      <c r="G118" t="str">
        <f t="shared" si="31"/>
        <v>priya nair</v>
      </c>
      <c r="H118" t="str">
        <f t="shared" si="32"/>
        <v>Priya Nair</v>
      </c>
      <c r="I118" t="str">
        <f t="shared" si="33"/>
        <v>ORD</v>
      </c>
      <c r="J118" t="str">
        <f t="shared" si="34"/>
        <v>1117</v>
      </c>
      <c r="K118">
        <f t="shared" si="35"/>
        <v>14</v>
      </c>
      <c r="L118" t="str">
        <f t="shared" si="36"/>
        <v>Filing Cabinet</v>
      </c>
      <c r="M118" t="str">
        <f t="shared" si="37"/>
        <v>North-Priya Nair</v>
      </c>
      <c r="N118" t="str">
        <f t="shared" si="38"/>
        <v>North-Retail Store</v>
      </c>
      <c r="O118">
        <f t="shared" si="39"/>
        <v>1117</v>
      </c>
    </row>
    <row r="119" spans="1:15" x14ac:dyDescent="0.35">
      <c r="A119" t="str">
        <f>Sales!A119</f>
        <v>ORD-1118</v>
      </c>
      <c r="B119" t="str">
        <f>Sales!D119</f>
        <v>Aarav Mehta</v>
      </c>
      <c r="C119" t="str">
        <f>Sales!G119</f>
        <v>Noise Cancel Headset</v>
      </c>
      <c r="D119" t="str">
        <f>Sales!C119</f>
        <v>North</v>
      </c>
      <c r="E119" t="str">
        <f>Sales!E119</f>
        <v>Partner</v>
      </c>
      <c r="F119" t="str">
        <f t="shared" si="30"/>
        <v>AARAV MEHTA</v>
      </c>
      <c r="G119" t="str">
        <f t="shared" si="31"/>
        <v>aarav mehta</v>
      </c>
      <c r="H119" t="str">
        <f t="shared" si="32"/>
        <v>Aarav Mehta</v>
      </c>
      <c r="I119" t="str">
        <f t="shared" si="33"/>
        <v>ORD</v>
      </c>
      <c r="J119" t="str">
        <f t="shared" si="34"/>
        <v>1118</v>
      </c>
      <c r="K119">
        <f t="shared" si="35"/>
        <v>20</v>
      </c>
      <c r="L119" t="str">
        <f t="shared" si="36"/>
        <v>Noise Cancel Headset</v>
      </c>
      <c r="M119" t="str">
        <f t="shared" si="37"/>
        <v>North-Aarav Mehta</v>
      </c>
      <c r="N119" t="str">
        <f t="shared" si="38"/>
        <v>North-Partner</v>
      </c>
      <c r="O119">
        <f t="shared" si="39"/>
        <v>1118</v>
      </c>
    </row>
    <row r="120" spans="1:15" x14ac:dyDescent="0.35">
      <c r="A120" t="str">
        <f>Sales!A120</f>
        <v>ORD-1119</v>
      </c>
      <c r="B120" t="str">
        <f>Sales!D120</f>
        <v>Aarav Mehta</v>
      </c>
      <c r="C120" t="str">
        <f>Sales!G120</f>
        <v>Standing Desk</v>
      </c>
      <c r="D120" t="str">
        <f>Sales!C120</f>
        <v>North</v>
      </c>
      <c r="E120" t="str">
        <f>Sales!E120</f>
        <v>Retail Store</v>
      </c>
      <c r="F120" t="str">
        <f t="shared" si="30"/>
        <v>AARAV MEHTA</v>
      </c>
      <c r="G120" t="str">
        <f t="shared" si="31"/>
        <v>aarav mehta</v>
      </c>
      <c r="H120" t="str">
        <f t="shared" si="32"/>
        <v>Aarav Mehta</v>
      </c>
      <c r="I120" t="str">
        <f t="shared" si="33"/>
        <v>ORD</v>
      </c>
      <c r="J120" t="str">
        <f t="shared" si="34"/>
        <v>1119</v>
      </c>
      <c r="K120">
        <f t="shared" si="35"/>
        <v>13</v>
      </c>
      <c r="L120" t="str">
        <f t="shared" si="36"/>
        <v>Standing Desk</v>
      </c>
      <c r="M120" t="str">
        <f t="shared" si="37"/>
        <v>North-Aarav Mehta</v>
      </c>
      <c r="N120" t="str">
        <f t="shared" si="38"/>
        <v>North-Retail Store</v>
      </c>
      <c r="O120">
        <f t="shared" si="39"/>
        <v>1119</v>
      </c>
    </row>
    <row r="121" spans="1:15" x14ac:dyDescent="0.35">
      <c r="A121" t="str">
        <f>Sales!A121</f>
        <v>ORD-1120</v>
      </c>
      <c r="B121" t="str">
        <f>Sales!D121</f>
        <v>Sneha Rao</v>
      </c>
      <c r="C121" t="str">
        <f>Sales!G121</f>
        <v>Gel Pen Pack</v>
      </c>
      <c r="D121" t="str">
        <f>Sales!C121</f>
        <v>South</v>
      </c>
      <c r="E121" t="str">
        <f>Sales!E121</f>
        <v>Retail Store</v>
      </c>
      <c r="F121" t="str">
        <f t="shared" si="30"/>
        <v>SNEHA RAO</v>
      </c>
      <c r="G121" t="str">
        <f t="shared" si="31"/>
        <v>sneha rao</v>
      </c>
      <c r="H121" t="str">
        <f t="shared" si="32"/>
        <v>Sneha Rao</v>
      </c>
      <c r="I121" t="str">
        <f t="shared" si="33"/>
        <v>ORD</v>
      </c>
      <c r="J121" t="str">
        <f t="shared" si="34"/>
        <v>1120</v>
      </c>
      <c r="K121">
        <f t="shared" si="35"/>
        <v>12</v>
      </c>
      <c r="L121" t="str">
        <f t="shared" si="36"/>
        <v>Gel Pen Pack</v>
      </c>
      <c r="M121" t="str">
        <f t="shared" si="37"/>
        <v>South-Sneha Rao</v>
      </c>
      <c r="N121" t="str">
        <f t="shared" si="38"/>
        <v>South-Retail Store</v>
      </c>
      <c r="O121">
        <f t="shared" si="39"/>
        <v>1120</v>
      </c>
    </row>
  </sheetData>
  <autoFilter ref="A1:O121" xr:uid="{00000000-0009-0000-0000-00000C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18" customWidth="1"/>
  </cols>
  <sheetData>
    <row r="1" spans="1:2" x14ac:dyDescent="0.35">
      <c r="A1" s="1" t="s">
        <v>3</v>
      </c>
      <c r="B1" s="1" t="s">
        <v>164</v>
      </c>
    </row>
    <row r="2" spans="1:2" x14ac:dyDescent="0.35">
      <c r="A2" t="str">
        <f>Targets!B2</f>
        <v>Aarav Mehta</v>
      </c>
      <c r="B2" s="3">
        <f>IFERROR(INDEX(Targets!$C$2:$C$9,MATCH(A2,Targets!$B$2:$B$9,0)),0)</f>
        <v>300000</v>
      </c>
    </row>
    <row r="3" spans="1:2" x14ac:dyDescent="0.35">
      <c r="A3" t="str">
        <f>Targets!B3</f>
        <v>Priya Nair</v>
      </c>
      <c r="B3" s="3">
        <f>IFERROR(INDEX(Targets!$C$2:$C$9,MATCH(A3,Targets!$B$2:$B$9,0)),0)</f>
        <v>250000</v>
      </c>
    </row>
    <row r="4" spans="1:2" x14ac:dyDescent="0.35">
      <c r="A4" t="str">
        <f>Targets!B4</f>
        <v>Rahul Iyer</v>
      </c>
      <c r="B4" s="3">
        <f>IFERROR(INDEX(Targets!$C$2:$C$9,MATCH(A4,Targets!$B$2:$B$9,0)),0)</f>
        <v>150000</v>
      </c>
    </row>
    <row r="5" spans="1:2" x14ac:dyDescent="0.35">
      <c r="A5" t="str">
        <f>Targets!B5</f>
        <v>Sneha Rao</v>
      </c>
      <c r="B5" s="3">
        <f>IFERROR(INDEX(Targets!$C$2:$C$9,MATCH(A5,Targets!$B$2:$B$9,0)),0)</f>
        <v>300000</v>
      </c>
    </row>
    <row r="6" spans="1:2" x14ac:dyDescent="0.35">
      <c r="A6" t="str">
        <f>Targets!B6</f>
        <v>Kabir Das</v>
      </c>
      <c r="B6" s="3">
        <f>IFERROR(INDEX(Targets!$C$2:$C$9,MATCH(A6,Targets!$B$2:$B$9,0)),0)</f>
        <v>150000</v>
      </c>
    </row>
    <row r="7" spans="1:2" x14ac:dyDescent="0.35">
      <c r="A7" t="str">
        <f>Targets!B7</f>
        <v>Meera Sen</v>
      </c>
      <c r="B7" s="3">
        <f>IFERROR(INDEX(Targets!$C$2:$C$9,MATCH(A7,Targets!$B$2:$B$9,0)),0)</f>
        <v>200000</v>
      </c>
    </row>
    <row r="8" spans="1:2" x14ac:dyDescent="0.35">
      <c r="A8" t="str">
        <f>Targets!B8</f>
        <v>Vikram Shah</v>
      </c>
      <c r="B8" s="3">
        <f>IFERROR(INDEX(Targets!$C$2:$C$9,MATCH(A8,Targets!$B$2:$B$9,0)),0)</f>
        <v>300000</v>
      </c>
    </row>
    <row r="9" spans="1:2" x14ac:dyDescent="0.35">
      <c r="A9" t="str">
        <f>Targets!B9</f>
        <v>Ananya Joshi</v>
      </c>
      <c r="B9" s="3">
        <f>IFERROR(INDEX(Targets!$C$2:$C$9,MATCH(A9,Targets!$B$2:$B$9,0)),0)</f>
        <v>150000</v>
      </c>
    </row>
  </sheetData>
  <autoFilter ref="A1:B9" xr:uid="{00000000-0009-0000-0000-00000D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14" customWidth="1"/>
    <col min="3" max="3" width="18" customWidth="1"/>
  </cols>
  <sheetData>
    <row r="1" spans="1:3" x14ac:dyDescent="0.35">
      <c r="A1" s="1" t="s">
        <v>3</v>
      </c>
      <c r="B1" s="1" t="s">
        <v>2</v>
      </c>
      <c r="C1" s="1" t="s">
        <v>164</v>
      </c>
    </row>
    <row r="2" spans="1:3" x14ac:dyDescent="0.35">
      <c r="A2" t="str">
        <f>Targets!B2</f>
        <v>Aarav Mehta</v>
      </c>
      <c r="B2" t="str">
        <f>IFERROR(INDEX(Targets!$A$2:$A$9,MATCH(A2,Targets!$B$2:$B$9,0)),"")</f>
        <v>North</v>
      </c>
      <c r="C2" s="3">
        <f>IFERROR(INDEX(Targets!$C$2:$C$9,MATCH(A2,Targets!$B$2:$B$9,0)),0)</f>
        <v>300000</v>
      </c>
    </row>
    <row r="3" spans="1:3" x14ac:dyDescent="0.35">
      <c r="A3" t="str">
        <f>Targets!B3</f>
        <v>Priya Nair</v>
      </c>
      <c r="B3" t="str">
        <f>IFERROR(INDEX(Targets!$A$2:$A$9,MATCH(A3,Targets!$B$2:$B$9,0)),"")</f>
        <v>North</v>
      </c>
      <c r="C3" s="3">
        <f>IFERROR(INDEX(Targets!$C$2:$C$9,MATCH(A3,Targets!$B$2:$B$9,0)),0)</f>
        <v>250000</v>
      </c>
    </row>
    <row r="4" spans="1:3" x14ac:dyDescent="0.35">
      <c r="A4" t="str">
        <f>Targets!B4</f>
        <v>Rahul Iyer</v>
      </c>
      <c r="B4" t="str">
        <f>IFERROR(INDEX(Targets!$A$2:$A$9,MATCH(A4,Targets!$B$2:$B$9,0)),"")</f>
        <v>South</v>
      </c>
      <c r="C4" s="3">
        <f>IFERROR(INDEX(Targets!$C$2:$C$9,MATCH(A4,Targets!$B$2:$B$9,0)),0)</f>
        <v>150000</v>
      </c>
    </row>
    <row r="5" spans="1:3" x14ac:dyDescent="0.35">
      <c r="A5" t="str">
        <f>Targets!B5</f>
        <v>Sneha Rao</v>
      </c>
      <c r="B5" t="str">
        <f>IFERROR(INDEX(Targets!$A$2:$A$9,MATCH(A5,Targets!$B$2:$B$9,0)),"")</f>
        <v>South</v>
      </c>
      <c r="C5" s="3">
        <f>IFERROR(INDEX(Targets!$C$2:$C$9,MATCH(A5,Targets!$B$2:$B$9,0)),0)</f>
        <v>300000</v>
      </c>
    </row>
    <row r="6" spans="1:3" x14ac:dyDescent="0.35">
      <c r="A6" t="str">
        <f>Targets!B6</f>
        <v>Kabir Das</v>
      </c>
      <c r="B6" t="str">
        <f>IFERROR(INDEX(Targets!$A$2:$A$9,MATCH(A6,Targets!$B$2:$B$9,0)),"")</f>
        <v>East</v>
      </c>
      <c r="C6" s="3">
        <f>IFERROR(INDEX(Targets!$C$2:$C$9,MATCH(A6,Targets!$B$2:$B$9,0)),0)</f>
        <v>150000</v>
      </c>
    </row>
    <row r="7" spans="1:3" x14ac:dyDescent="0.35">
      <c r="A7" t="str">
        <f>Targets!B7</f>
        <v>Meera Sen</v>
      </c>
      <c r="B7" t="str">
        <f>IFERROR(INDEX(Targets!$A$2:$A$9,MATCH(A7,Targets!$B$2:$B$9,0)),"")</f>
        <v>East</v>
      </c>
      <c r="C7" s="3">
        <f>IFERROR(INDEX(Targets!$C$2:$C$9,MATCH(A7,Targets!$B$2:$B$9,0)),0)</f>
        <v>200000</v>
      </c>
    </row>
    <row r="8" spans="1:3" x14ac:dyDescent="0.35">
      <c r="A8" t="str">
        <f>Targets!B8</f>
        <v>Vikram Shah</v>
      </c>
      <c r="B8" t="str">
        <f>IFERROR(INDEX(Targets!$A$2:$A$9,MATCH(A8,Targets!$B$2:$B$9,0)),"")</f>
        <v>West</v>
      </c>
      <c r="C8" s="3">
        <f>IFERROR(INDEX(Targets!$C$2:$C$9,MATCH(A8,Targets!$B$2:$B$9,0)),0)</f>
        <v>300000</v>
      </c>
    </row>
    <row r="9" spans="1:3" x14ac:dyDescent="0.35">
      <c r="A9" t="str">
        <f>Targets!B9</f>
        <v>Ananya Joshi</v>
      </c>
      <c r="B9" t="str">
        <f>IFERROR(INDEX(Targets!$A$2:$A$9,MATCH(A9,Targets!$B$2:$B$9,0)),"")</f>
        <v>West</v>
      </c>
      <c r="C9" s="3">
        <f>IFERROR(INDEX(Targets!$C$2:$C$9,MATCH(A9,Targets!$B$2:$B$9,0)),0)</f>
        <v>150000</v>
      </c>
    </row>
  </sheetData>
  <autoFilter ref="A1:C9" xr:uid="{00000000-0009-0000-0000-00000E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1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22" customWidth="1"/>
    <col min="2" max="2" width="18" customWidth="1"/>
    <col min="3" max="3" width="14" customWidth="1"/>
  </cols>
  <sheetData>
    <row r="1" spans="1:3" ht="23.5" x14ac:dyDescent="0.55000000000000004">
      <c r="A1" s="5" t="s">
        <v>350</v>
      </c>
    </row>
    <row r="2" spans="1:3" x14ac:dyDescent="0.35">
      <c r="A2" s="6" t="s">
        <v>3</v>
      </c>
      <c r="B2" s="6" t="s">
        <v>351</v>
      </c>
      <c r="C2" s="6" t="s">
        <v>352</v>
      </c>
    </row>
    <row r="3" spans="1:3" x14ac:dyDescent="0.35">
      <c r="A3" t="s">
        <v>57</v>
      </c>
      <c r="B3" s="3">
        <f>SUMPRODUCT((Sales!$D$2:$D$121=A3)*Sales!$H$2:$H$121*Sales!$I$2:$I$121)</f>
        <v>2906200</v>
      </c>
      <c r="C3" s="3">
        <f>COUNTIF(Sales!$D$2:$D$121,A3)</f>
        <v>15</v>
      </c>
    </row>
    <row r="4" spans="1:3" x14ac:dyDescent="0.35">
      <c r="A4" t="s">
        <v>18</v>
      </c>
      <c r="B4" s="3">
        <f>SUMPRODUCT((Sales!$D$2:$D$121=A4)*Sales!$H$2:$H$121*Sales!$I$2:$I$121)</f>
        <v>2419500</v>
      </c>
      <c r="C4" s="3">
        <f>COUNTIF(Sales!$D$2:$D$121,A4)</f>
        <v>13</v>
      </c>
    </row>
    <row r="5" spans="1:3" x14ac:dyDescent="0.35">
      <c r="A5" t="s">
        <v>33</v>
      </c>
      <c r="B5" s="3">
        <f>SUMPRODUCT((Sales!$D$2:$D$121=A5)*Sales!$H$2:$H$121*Sales!$I$2:$I$121)</f>
        <v>919750</v>
      </c>
      <c r="C5" s="3">
        <f>COUNTIF(Sales!$D$2:$D$121,A5)</f>
        <v>13</v>
      </c>
    </row>
    <row r="6" spans="1:3" x14ac:dyDescent="0.35">
      <c r="A6" t="s">
        <v>45</v>
      </c>
      <c r="B6" s="3">
        <f>SUMPRODUCT((Sales!$D$2:$D$121=A6)*Sales!$H$2:$H$121*Sales!$I$2:$I$121)</f>
        <v>3096000</v>
      </c>
      <c r="C6" s="3">
        <f>COUNTIF(Sales!$D$2:$D$121,A6)</f>
        <v>14</v>
      </c>
    </row>
    <row r="7" spans="1:3" x14ac:dyDescent="0.35">
      <c r="A7" t="s">
        <v>37</v>
      </c>
      <c r="B7" s="3">
        <f>SUMPRODUCT((Sales!$D$2:$D$121=A7)*Sales!$H$2:$H$121*Sales!$I$2:$I$121)</f>
        <v>4211650</v>
      </c>
      <c r="C7" s="3">
        <f>COUNTIF(Sales!$D$2:$D$121,A7)</f>
        <v>12</v>
      </c>
    </row>
    <row r="8" spans="1:3" x14ac:dyDescent="0.35">
      <c r="A8" t="s">
        <v>43</v>
      </c>
      <c r="B8" s="3">
        <f>SUMPRODUCT((Sales!$D$2:$D$121=A8)*Sales!$H$2:$H$121*Sales!$I$2:$I$121)</f>
        <v>1734800</v>
      </c>
      <c r="C8" s="3">
        <f>COUNTIF(Sales!$D$2:$D$121,A8)</f>
        <v>16</v>
      </c>
    </row>
    <row r="9" spans="1:3" x14ac:dyDescent="0.35">
      <c r="A9" t="s">
        <v>40</v>
      </c>
      <c r="B9" s="3">
        <f>SUMPRODUCT((Sales!$D$2:$D$121=A9)*Sales!$H$2:$H$121*Sales!$I$2:$I$121)</f>
        <v>2560300</v>
      </c>
      <c r="C9" s="3">
        <f>COUNTIF(Sales!$D$2:$D$121,A9)</f>
        <v>16</v>
      </c>
    </row>
    <row r="10" spans="1:3" x14ac:dyDescent="0.35">
      <c r="A10" t="s">
        <v>28</v>
      </c>
      <c r="B10" s="3">
        <f>SUMPRODUCT((Sales!$D$2:$D$121=A10)*Sales!$H$2:$H$121*Sales!$I$2:$I$121)</f>
        <v>1573750</v>
      </c>
      <c r="C10" s="3">
        <f>COUNTIF(Sales!$D$2:$D$121,A10)</f>
        <v>20</v>
      </c>
    </row>
    <row r="11" spans="1:3" x14ac:dyDescent="0.35">
      <c r="A11" s="7" t="s">
        <v>353</v>
      </c>
      <c r="B11" s="11">
        <f>SUM(B3:B10)</f>
        <v>19421950</v>
      </c>
      <c r="C11" s="11">
        <f>SUM(C3:C10)</f>
        <v>119</v>
      </c>
    </row>
  </sheetData>
  <autoFilter ref="A2:C10" xr:uid="{00000000-0009-0000-0000-00000F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2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24" customWidth="1"/>
    <col min="2" max="2" width="16" customWidth="1"/>
  </cols>
  <sheetData>
    <row r="1" spans="1:2" ht="23.5" x14ac:dyDescent="0.55000000000000004">
      <c r="A1" s="5" t="s">
        <v>354</v>
      </c>
    </row>
    <row r="2" spans="1:2" x14ac:dyDescent="0.35">
      <c r="A2" s="6" t="s">
        <v>6</v>
      </c>
      <c r="B2" s="6" t="s">
        <v>177</v>
      </c>
    </row>
    <row r="3" spans="1:2" x14ac:dyDescent="0.35">
      <c r="A3" t="s">
        <v>50</v>
      </c>
      <c r="B3" s="3">
        <f>SUMIF(Sales!$G$2:$G$121,A3,Sales!$H$2:$H$121)</f>
        <v>108</v>
      </c>
    </row>
    <row r="4" spans="1:2" x14ac:dyDescent="0.35">
      <c r="A4" t="s">
        <v>21</v>
      </c>
      <c r="B4" s="3">
        <f>SUMIF(Sales!$G$2:$G$121,A4,Sales!$H$2:$H$121)</f>
        <v>201</v>
      </c>
    </row>
    <row r="5" spans="1:2" x14ac:dyDescent="0.35">
      <c r="A5" t="s">
        <v>38</v>
      </c>
      <c r="B5" s="3">
        <f>SUMIF(Sales!$G$2:$G$121,A5,Sales!$H$2:$H$121)</f>
        <v>238</v>
      </c>
    </row>
    <row r="6" spans="1:2" x14ac:dyDescent="0.35">
      <c r="A6" t="s">
        <v>58</v>
      </c>
      <c r="B6" s="3">
        <f>SUMIF(Sales!$G$2:$G$121,A6,Sales!$H$2:$H$121)</f>
        <v>159</v>
      </c>
    </row>
    <row r="7" spans="1:2" x14ac:dyDescent="0.35">
      <c r="A7" t="s">
        <v>34</v>
      </c>
      <c r="B7" s="3">
        <f>SUMIF(Sales!$G$2:$G$121,A7,Sales!$H$2:$H$121)</f>
        <v>145</v>
      </c>
    </row>
    <row r="8" spans="1:2" x14ac:dyDescent="0.35">
      <c r="A8" t="s">
        <v>25</v>
      </c>
      <c r="B8" s="3">
        <f>SUMIF(Sales!$G$2:$G$121,A8,Sales!$H$2:$H$121)</f>
        <v>216</v>
      </c>
    </row>
    <row r="9" spans="1:2" x14ac:dyDescent="0.35">
      <c r="A9" t="s">
        <v>73</v>
      </c>
      <c r="B9" s="3">
        <f>SUMIF(Sales!$G$2:$G$121,A9,Sales!$H$2:$H$121)</f>
        <v>82</v>
      </c>
    </row>
    <row r="10" spans="1:2" x14ac:dyDescent="0.35">
      <c r="A10" t="s">
        <v>30</v>
      </c>
      <c r="B10" s="3">
        <f>SUMIF(Sales!$G$2:$G$121,A10,Sales!$H$2:$H$121)</f>
        <v>151</v>
      </c>
    </row>
    <row r="11" spans="1:2" x14ac:dyDescent="0.35">
      <c r="A11" t="s">
        <v>47</v>
      </c>
      <c r="B11" s="3">
        <f>SUMIF(Sales!$G$2:$G$121,A11,Sales!$H$2:$H$121)</f>
        <v>205</v>
      </c>
    </row>
    <row r="12" spans="1:2" x14ac:dyDescent="0.35">
      <c r="A12" s="7" t="s">
        <v>353</v>
      </c>
      <c r="B12" s="11">
        <f>SUM(B3:B11)</f>
        <v>1505</v>
      </c>
    </row>
  </sheetData>
  <autoFilter ref="A2:B11" xr:uid="{00000000-0009-0000-0000-00001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Sales</vt:lpstr>
      <vt:lpstr>pivot table_HW</vt:lpstr>
      <vt:lpstr>Products</vt:lpstr>
      <vt:lpstr>Targets</vt:lpstr>
      <vt:lpstr>Charts</vt:lpstr>
      <vt:lpstr>Analysis</vt:lpstr>
      <vt:lpstr>Logical</vt:lpstr>
      <vt:lpstr>LogicDemo</vt:lpstr>
      <vt:lpstr>Lookup</vt:lpstr>
      <vt:lpstr>LookupDemo</vt:lpstr>
      <vt:lpstr>DateTime</vt:lpstr>
      <vt:lpstr>DateTimeDemo</vt:lpstr>
      <vt:lpstr>Text</vt:lpstr>
      <vt:lpstr>TextDemo</vt:lpstr>
      <vt:lpstr>SalespersonTargets</vt:lpstr>
      <vt:lpstr>SalespersonTargetRegion</vt:lpstr>
      <vt:lpstr>SalespersonRevenuePivot</vt:lpstr>
      <vt:lpstr>ProductUnitsPivot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 Nagaraj</cp:lastModifiedBy>
  <dcterms:created xsi:type="dcterms:W3CDTF">2026-09-25T02:09:03Z</dcterms:created>
  <dcterms:modified xsi:type="dcterms:W3CDTF">2026-09-26T20:21:39Z</dcterms:modified>
</cp:coreProperties>
</file>