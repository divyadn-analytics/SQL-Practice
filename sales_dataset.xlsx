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Targets" sheetId="3" state="visible" r:id="rId3"/>
    <sheet name="Charts" sheetId="4" state="visible" r:id="rId4"/>
    <sheet name="Analysis" sheetId="5" state="visible" r:id="rId5"/>
    <sheet name="Logical" sheetId="6" state="visible" r:id="rId6"/>
    <sheet name="LogicDemo" sheetId="7" state="visible" r:id="rId7"/>
    <sheet name="Lookup" sheetId="8" state="visible" r:id="rId8"/>
    <sheet name="LookupDemo" sheetId="9" state="visible" r:id="rId9"/>
    <sheet name="DateTime" sheetId="10" state="visible" r:id="rId10"/>
    <sheet name="DateTimeDemo" sheetId="11" state="visible" r:id="rId11"/>
    <sheet name="Text" sheetId="12" state="visible" r:id="rId12"/>
    <sheet name="TextDemo" sheetId="13" state="visible" r:id="rId13"/>
    <sheet name="SalespersonTargets" sheetId="14" state="visible" r:id="rId14"/>
    <sheet name="SalespersonTargetRegion" sheetId="15" state="visible" r:id="rId15"/>
  </sheets>
  <definedNames>
    <definedName name="_xlnm._FilterDatabase" localSheetId="0" hidden="1">'Sales'!$A$1:$P$121</definedName>
    <definedName name="_xlnm._FilterDatabase" localSheetId="1" hidden="1">'Products'!$A$1:$D$10</definedName>
    <definedName name="_xlnm._FilterDatabase" localSheetId="2" hidden="1">'Targets'!$A$1:$C$9</definedName>
    <definedName name="_xlnm._FilterDatabase" localSheetId="6" hidden="1">'LogicDemo'!$A$1:$L$121</definedName>
    <definedName name="_xlnm._FilterDatabase" localSheetId="8" hidden="1">'LookupDemo'!$A$1:$G$121</definedName>
    <definedName name="_xlnm._FilterDatabase" localSheetId="10" hidden="1">'DateTimeDemo'!$A$1:$M$121</definedName>
    <definedName name="_xlnm._FilterDatabase" localSheetId="12" hidden="1">'TextDemo'!$A$1:$O$121</definedName>
    <definedName name="_xlnm._FilterDatabase" localSheetId="13" hidden="1">'SalespersonTargets'!$A$1:$B$9</definedName>
    <definedName name="_xlnm._FilterDatabase" localSheetId="14" hidden="1">'SalespersonTargetRegion'!$A$1:$C$9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'Charts'!E4</f>
            </strRef>
          </tx>
          <spPr>
            <a:ln>
              <a:prstDash val="solid"/>
            </a:ln>
          </spPr>
          <cat>
            <numRef>
              <f>'Charts'!$D$5:$D$8</f>
            </numRef>
          </cat>
          <val>
            <numRef>
              <f>'Charts'!$E$5:$E$8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'Charts'!H4</f>
            </strRef>
          </tx>
          <spPr>
            <a:ln>
              <a:prstDash val="solid"/>
            </a:ln>
          </spPr>
          <cat>
            <numRef>
              <f>'Charts'!$G$5:$G$7</f>
            </numRef>
          </cat>
          <val>
            <numRef>
              <f>'Charts'!$H$5:$H$7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18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P121" headerRowCount="1">
  <autoFilter ref="A1:P121"/>
  <tableColumns count="16">
    <tableColumn id="1" name="OrderID"/>
    <tableColumn id="2" name="OrderDate"/>
    <tableColumn id="3" name="Region"/>
    <tableColumn id="4" name="Salesperson"/>
    <tableColumn id="5" name="Channel"/>
    <tableColumn id="6" name="Category"/>
    <tableColumn id="7" name="Product"/>
    <tableColumn id="8" name="Units"/>
    <tableColumn id="9" name="UnitPrice"/>
    <tableColumn id="10" name="Discount"/>
    <tableColumn id="11" name="GrossRevenue"/>
    <tableColumn id="12" name="DiscountAmount"/>
    <tableColumn id="13" name="NetRevenue"/>
    <tableColumn id="14" name="RoundedNetRevenue"/>
    <tableColumn id="15" name="RoundUpNetRevenue"/>
    <tableColumn id="16" name="RoundDownNet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Table" displayName="ProductsTable" ref="A1:D10" headerRowCount="1">
  <autoFilter ref="A1:D10"/>
  <tableColumns count="4">
    <tableColumn id="1" name="Product"/>
    <tableColumn id="2" name="Category"/>
    <tableColumn id="3" name="UnitPrice"/>
    <tableColumn id="4" name="Unit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rgetsTable" displayName="TargetsTable" ref="A1:C9" headerRowCount="1">
  <autoFilter ref="A1:C9"/>
  <tableColumns count="3">
    <tableColumn id="1" name="Region"/>
    <tableColumn id="2" name="Salesperson"/>
    <tableColumn id="3" name="MonthlyTar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ogicDemoTable" displayName="LogicDemoTable" ref="A1:L121" headerRowCount="1">
  <autoFilter ref="A1:L121"/>
  <tableColumns count="12">
    <tableColumn id="1" name="OrderID"/>
    <tableColumn id="2" name="Units"/>
    <tableColumn id="3" name="Discount"/>
    <tableColumn id="4" name="Region"/>
    <tableColumn id="5" name="Channel"/>
    <tableColumn id="6" name="OrderSize"/>
    <tableColumn id="7" name="BulkDiscount"/>
    <tableColumn id="8" name="RegionGroup"/>
    <tableColumn id="9" name="SizeUsingIF"/>
    <tableColumn id="10" name="ChannelRate"/>
    <tableColumn id="11" name="SafeRatio"/>
    <tableColumn id="12" name="OneOfTw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ookupDemoTable" displayName="LookupDemoTable" ref="A1:G121" headerRowCount="1">
  <autoFilter ref="A1:G121"/>
  <tableColumns count="7">
    <tableColumn id="1" name="OrderID"/>
    <tableColumn id="2" name="Product"/>
    <tableColumn id="3" name="UnitCost"/>
    <tableColumn id="4" name="Salesperson"/>
    <tableColumn id="5" name="MonthlyTarget"/>
    <tableColumn id="6" name="ProductLookupMethod"/>
    <tableColumn id="7" name="TargetLookupMeth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eTimeDemoTable" displayName="DateTimeDemoTable" ref="A1:M121" headerRowCount="1">
  <autoFilter ref="A1:M121"/>
  <tableColumns count="13">
    <tableColumn id="1" name="OrderID"/>
    <tableColumn id="2" name="OrderDate"/>
    <tableColumn id="3" name="Year"/>
    <tableColumn id="4" name="Month"/>
    <tableColumn id="5" name="Day"/>
    <tableColumn id="6" name="WeekNum"/>
    <tableColumn id="7" name="MonthName"/>
    <tableColumn id="8" name="MonthYear"/>
    <tableColumn id="9" name="MonthEnd"/>
    <tableColumn id="10" name="NextMonth"/>
    <tableColumn id="11" name="Weekday"/>
    <tableColumn id="12" name="WorkdaysToToday"/>
    <tableColumn id="13" name="MonthsToToda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xtDemoTable" displayName="TextDemoTable" ref="A1:O121" headerRowCount="1">
  <autoFilter ref="A1:O121"/>
  <tableColumns count="15">
    <tableColumn id="1" name="OrderID"/>
    <tableColumn id="2" name="Salesperson"/>
    <tableColumn id="3" name="Product"/>
    <tableColumn id="4" name="Region"/>
    <tableColumn id="5" name="Channel"/>
    <tableColumn id="6" name="UpperName"/>
    <tableColumn id="7" name="LowerName"/>
    <tableColumn id="8" name="ProperName"/>
    <tableColumn id="9" name="OrderPrefix"/>
    <tableColumn id="10" name="OrderNumberText"/>
    <tableColumn id="11" name="ProductLength"/>
    <tableColumn id="12" name="CleanProduct"/>
    <tableColumn id="13" name="RegionSalesperson"/>
    <tableColumn id="14" name="RegionChannel"/>
    <tableColumn id="15" name="OrderNumb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alespersonTargetsTable" displayName="SalespersonTargetsTable" ref="A1:B9" headerRowCount="1">
  <autoFilter ref="A1:B9"/>
  <tableColumns count="2">
    <tableColumn id="1" name="Salesperson"/>
    <tableColumn id="2" name="MonthlyTarg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alespersonTargetRegionTable" displayName="SalespersonTargetRegionTable" ref="A1:C9" headerRowCount="1">
  <autoFilter ref="A1:C9"/>
  <tableColumns count="3">
    <tableColumn id="1" name="Salesperson"/>
    <tableColumn id="2" name="Region"/>
    <tableColumn id="3" name="Monthly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6" customWidth="1" min="5" max="5"/>
    <col width="14" customWidth="1" min="6" max="6"/>
    <col width="24" customWidth="1" min="7" max="7"/>
    <col width="10" customWidth="1" min="8" max="8"/>
    <col width="14" customWidth="1" min="9" max="9"/>
    <col width="12" customWidth="1" min="10" max="10"/>
    <col width="16" customWidth="1" min="11" max="11"/>
    <col width="18" customWidth="1" min="12" max="12"/>
    <col width="14" customWidth="1" min="13" max="13"/>
    <col width="18" customWidth="1" min="14" max="14"/>
    <col width="18" customWidth="1" min="15" max="15"/>
    <col width="20" customWidth="1" min="16" max="16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Channel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Units</t>
        </is>
      </c>
      <c r="I1" s="1" t="inlineStr">
        <is>
          <t>UnitPrice</t>
        </is>
      </c>
      <c r="J1" s="1" t="inlineStr">
        <is>
          <t>Discount</t>
        </is>
      </c>
      <c r="K1" s="1" t="inlineStr">
        <is>
          <t>GrossRevenue</t>
        </is>
      </c>
      <c r="L1" s="1" t="inlineStr">
        <is>
          <t>DiscountAmount</t>
        </is>
      </c>
      <c r="M1" s="1" t="inlineStr">
        <is>
          <t>NetRevenue</t>
        </is>
      </c>
      <c r="N1" s="1" t="inlineStr">
        <is>
          <t>RoundedNetRevenue</t>
        </is>
      </c>
      <c r="O1" s="1" t="inlineStr">
        <is>
          <t>RoundUpNetRevenue</t>
        </is>
      </c>
      <c r="P1" s="1" t="inlineStr">
        <is>
          <t>RoundDownNetRevenue</t>
        </is>
      </c>
    </row>
    <row r="2">
      <c r="A2" t="inlineStr">
        <is>
          <t>ORD-1001</t>
        </is>
      </c>
      <c r="B2" s="2" t="n">
        <v>45829</v>
      </c>
      <c r="C2" t="inlineStr">
        <is>
          <t>North</t>
        </is>
      </c>
      <c r="D2" t="inlineStr">
        <is>
          <t>Priya Nair</t>
        </is>
      </c>
      <c r="E2" t="inlineStr">
        <is>
          <t>Online</t>
        </is>
      </c>
      <c r="F2" t="inlineStr">
        <is>
          <t>Electronics</t>
        </is>
      </c>
      <c r="G2" t="inlineStr">
        <is>
          <t>Wireless Mouse</t>
        </is>
      </c>
      <c r="H2" t="n">
        <v>6</v>
      </c>
      <c r="I2" s="3" t="n">
        <v>1500</v>
      </c>
      <c r="J2" s="4" t="n">
        <v>0</v>
      </c>
      <c r="K2" s="3">
        <f>H2*I2</f>
        <v/>
      </c>
      <c r="L2" s="3">
        <f>H2*I2*J2</f>
        <v/>
      </c>
      <c r="M2" s="3">
        <f>H2*I2*(1-J2)</f>
        <v/>
      </c>
      <c r="N2" s="3">
        <f>ROUND(H2*I2*(1-J2),0)</f>
        <v/>
      </c>
      <c r="O2" s="3">
        <f>ROUNDUP(H2*I2*(1-J2),0)</f>
        <v/>
      </c>
      <c r="P2" s="3">
        <f>ROUNDDOWN(H2*I2*(1-J2),0)</f>
        <v/>
      </c>
    </row>
    <row r="3">
      <c r="A3" t="inlineStr">
        <is>
          <t>ORD-1002</t>
        </is>
      </c>
      <c r="B3" s="2" t="n">
        <v>45953</v>
      </c>
      <c r="C3" t="inlineStr">
        <is>
          <t>North</t>
        </is>
      </c>
      <c r="D3" t="inlineStr">
        <is>
          <t>Priya Nair</t>
        </is>
      </c>
      <c r="E3" t="inlineStr">
        <is>
          <t>Retail Store</t>
        </is>
      </c>
      <c r="F3" t="inlineStr">
        <is>
          <t>Furniture</t>
        </is>
      </c>
      <c r="G3" t="inlineStr">
        <is>
          <t>Filing Cabinet</t>
        </is>
      </c>
      <c r="H3" t="n">
        <v>25</v>
      </c>
      <c r="I3" s="3" t="n">
        <v>7000</v>
      </c>
      <c r="J3" s="4" t="n">
        <v>0</v>
      </c>
      <c r="K3" s="3">
        <f>H3*I3</f>
        <v/>
      </c>
      <c r="L3" s="3">
        <f>H3*I3*J3</f>
        <v/>
      </c>
      <c r="M3" s="3">
        <f>H3*I3*(1-J3)</f>
        <v/>
      </c>
      <c r="N3" s="3">
        <f>ROUND(H3*I3*(1-J3),0)</f>
        <v/>
      </c>
      <c r="O3" s="3">
        <f>ROUNDUP(H3*I3*(1-J3),0)</f>
        <v/>
      </c>
      <c r="P3" s="3">
        <f>ROUNDDOWN(H3*I3*(1-J3),0)</f>
        <v/>
      </c>
    </row>
    <row r="4">
      <c r="A4" t="inlineStr">
        <is>
          <t>ORD-1003</t>
        </is>
      </c>
      <c r="B4" s="2" t="n">
        <v>45831</v>
      </c>
      <c r="C4" t="inlineStr">
        <is>
          <t>West</t>
        </is>
      </c>
      <c r="D4" t="inlineStr">
        <is>
          <t>Ananya Joshi</t>
        </is>
      </c>
      <c r="E4" t="inlineStr">
        <is>
          <t>Retail Store</t>
        </is>
      </c>
      <c r="F4" t="inlineStr">
        <is>
          <t>Stationery</t>
        </is>
      </c>
      <c r="G4" t="inlineStr">
        <is>
          <t>Gel Pen Pack</t>
        </is>
      </c>
      <c r="H4" t="n">
        <v>24</v>
      </c>
      <c r="I4" s="3" t="n">
        <v>250</v>
      </c>
      <c r="J4" s="4" t="n">
        <v>0</v>
      </c>
      <c r="K4" s="3">
        <f>H4*I4</f>
        <v/>
      </c>
      <c r="L4" s="3">
        <f>H4*I4*J4</f>
        <v/>
      </c>
      <c r="M4" s="3">
        <f>H4*I4*(1-J4)</f>
        <v/>
      </c>
      <c r="N4" s="3">
        <f>ROUND(H4*I4*(1-J4),0)</f>
        <v/>
      </c>
      <c r="O4" s="3">
        <f>ROUNDUP(H4*I4*(1-J4),0)</f>
        <v/>
      </c>
      <c r="P4" s="3">
        <f>ROUNDDOWN(H4*I4*(1-J4),0)</f>
        <v/>
      </c>
    </row>
    <row r="5">
      <c r="A5" t="inlineStr">
        <is>
          <t>ORD-1004</t>
        </is>
      </c>
      <c r="B5" s="2" t="n">
        <v>45943</v>
      </c>
      <c r="C5" t="inlineStr">
        <is>
          <t>South</t>
        </is>
      </c>
      <c r="D5" t="inlineStr">
        <is>
          <t>Rahul Iyer</t>
        </is>
      </c>
      <c r="E5" t="inlineStr">
        <is>
          <t>Retail Store</t>
        </is>
      </c>
      <c r="F5" t="inlineStr">
        <is>
          <t>Furniture</t>
        </is>
      </c>
      <c r="G5" t="inlineStr">
        <is>
          <t>Standing Desk</t>
        </is>
      </c>
      <c r="H5" t="n">
        <v>5</v>
      </c>
      <c r="I5" s="3" t="n">
        <v>24000</v>
      </c>
      <c r="J5" s="4" t="n">
        <v>0.1</v>
      </c>
      <c r="K5" s="3">
        <f>H5*I5</f>
        <v/>
      </c>
      <c r="L5" s="3">
        <f>H5*I5*J5</f>
        <v/>
      </c>
      <c r="M5" s="3">
        <f>H5*I5*(1-J5)</f>
        <v/>
      </c>
      <c r="N5" s="3">
        <f>ROUND(H5*I5*(1-J5),0)</f>
        <v/>
      </c>
      <c r="O5" s="3">
        <f>ROUNDUP(H5*I5*(1-J5),0)</f>
        <v/>
      </c>
      <c r="P5" s="3">
        <f>ROUNDDOWN(H5*I5*(1-J5),0)</f>
        <v/>
      </c>
    </row>
    <row r="6">
      <c r="A6" t="inlineStr">
        <is>
          <t>ORD-1005</t>
        </is>
      </c>
      <c r="B6" s="2" t="n">
        <v>45674</v>
      </c>
      <c r="C6" t="inlineStr">
        <is>
          <t>East</t>
        </is>
      </c>
      <c r="D6" t="inlineStr">
        <is>
          <t>Kabir Das</t>
        </is>
      </c>
      <c r="E6" t="inlineStr">
        <is>
          <t>Retail Store</t>
        </is>
      </c>
      <c r="F6" t="inlineStr">
        <is>
          <t>Electronics</t>
        </is>
      </c>
      <c r="G6" t="inlineStr">
        <is>
          <t>Noise Cancel Headset</t>
        </is>
      </c>
      <c r="H6" t="n">
        <v>22</v>
      </c>
      <c r="I6" s="3" t="n">
        <v>8500</v>
      </c>
      <c r="J6" s="4" t="n">
        <v>0</v>
      </c>
      <c r="K6" s="3">
        <f>H6*I6</f>
        <v/>
      </c>
      <c r="L6" s="3">
        <f>H6*I6*J6</f>
        <v/>
      </c>
      <c r="M6" s="3">
        <f>H6*I6*(1-J6)</f>
        <v/>
      </c>
      <c r="N6" s="3">
        <f>ROUND(H6*I6*(1-J6),0)</f>
        <v/>
      </c>
      <c r="O6" s="3">
        <f>ROUNDUP(H6*I6*(1-J6),0)</f>
        <v/>
      </c>
      <c r="P6" s="3">
        <f>ROUNDDOWN(H6*I6*(1-J6),0)</f>
        <v/>
      </c>
    </row>
    <row r="7">
      <c r="A7" t="inlineStr">
        <is>
          <t>ORD-1006</t>
        </is>
      </c>
      <c r="B7" s="2" t="n">
        <v>45868</v>
      </c>
      <c r="C7" t="inlineStr">
        <is>
          <t>West</t>
        </is>
      </c>
      <c r="D7" t="inlineStr">
        <is>
          <t>Vikram Shah</t>
        </is>
      </c>
      <c r="E7" t="inlineStr">
        <is>
          <t>Partner</t>
        </is>
      </c>
      <c r="F7" t="inlineStr">
        <is>
          <t>Electronics</t>
        </is>
      </c>
      <c r="G7" t="inlineStr">
        <is>
          <t>Noise Cancel Headset</t>
        </is>
      </c>
      <c r="H7" t="n">
        <v>25</v>
      </c>
      <c r="I7" s="3" t="n">
        <v>8500</v>
      </c>
      <c r="J7" s="4" t="n">
        <v>0</v>
      </c>
      <c r="K7" s="3">
        <f>H7*I7</f>
        <v/>
      </c>
      <c r="L7" s="3">
        <f>H7*I7*J7</f>
        <v/>
      </c>
      <c r="M7" s="3">
        <f>H7*I7*(1-J7)</f>
        <v/>
      </c>
      <c r="N7" s="3">
        <f>ROUND(H7*I7*(1-J7),0)</f>
        <v/>
      </c>
      <c r="O7" s="3">
        <f>ROUNDUP(H7*I7*(1-J7),0)</f>
        <v/>
      </c>
      <c r="P7" s="3">
        <f>ROUNDDOWN(H7*I7*(1-J7),0)</f>
        <v/>
      </c>
    </row>
    <row r="8">
      <c r="A8" t="inlineStr">
        <is>
          <t>ORD-1007</t>
        </is>
      </c>
      <c r="B8" s="2" t="n">
        <v>46013</v>
      </c>
      <c r="C8" t="inlineStr">
        <is>
          <t>East</t>
        </is>
      </c>
      <c r="D8" t="inlineStr">
        <is>
          <t>Meera Sen</t>
        </is>
      </c>
      <c r="E8" t="inlineStr">
        <is>
          <t>Retail Store</t>
        </is>
      </c>
      <c r="F8" t="inlineStr">
        <is>
          <t>Stationery</t>
        </is>
      </c>
      <c r="G8" t="inlineStr">
        <is>
          <t>Gel Pen Pack</t>
        </is>
      </c>
      <c r="H8" t="n">
        <v>15</v>
      </c>
      <c r="I8" s="3" t="n">
        <v>250</v>
      </c>
      <c r="J8" s="4" t="n">
        <v>0</v>
      </c>
      <c r="K8" s="3">
        <f>H8*I8</f>
        <v/>
      </c>
      <c r="L8" s="3">
        <f>H8*I8*J8</f>
        <v/>
      </c>
      <c r="M8" s="3">
        <f>H8*I8*(1-J8)</f>
        <v/>
      </c>
      <c r="N8" s="3">
        <f>ROUND(H8*I8*(1-J8),0)</f>
        <v/>
      </c>
      <c r="O8" s="3">
        <f>ROUNDUP(H8*I8*(1-J8),0)</f>
        <v/>
      </c>
      <c r="P8" s="3">
        <f>ROUNDDOWN(H8*I8*(1-J8),0)</f>
        <v/>
      </c>
    </row>
    <row r="9">
      <c r="A9" t="inlineStr">
        <is>
          <t>ORD-1008</t>
        </is>
      </c>
      <c r="B9" s="2" t="n">
        <v>45858</v>
      </c>
      <c r="C9" t="inlineStr">
        <is>
          <t>South</t>
        </is>
      </c>
      <c r="D9" t="inlineStr">
        <is>
          <t>Sneha Rao</t>
        </is>
      </c>
      <c r="E9" t="inlineStr">
        <is>
          <t>Partner</t>
        </is>
      </c>
      <c r="F9" t="inlineStr">
        <is>
          <t>Electronics</t>
        </is>
      </c>
      <c r="G9" t="inlineStr">
        <is>
          <t>Wireless Mouse</t>
        </is>
      </c>
      <c r="H9" t="n">
        <v>6</v>
      </c>
      <c r="I9" s="3" t="n">
        <v>1500</v>
      </c>
      <c r="J9" s="4" t="n">
        <v>0</v>
      </c>
      <c r="K9" s="3">
        <f>H9*I9</f>
        <v/>
      </c>
      <c r="L9" s="3">
        <f>H9*I9*J9</f>
        <v/>
      </c>
      <c r="M9" s="3">
        <f>H9*I9*(1-J9)</f>
        <v/>
      </c>
      <c r="N9" s="3">
        <f>ROUND(H9*I9*(1-J9),0)</f>
        <v/>
      </c>
      <c r="O9" s="3">
        <f>ROUNDUP(H9*I9*(1-J9),0)</f>
        <v/>
      </c>
      <c r="P9" s="3">
        <f>ROUNDDOWN(H9*I9*(1-J9),0)</f>
        <v/>
      </c>
    </row>
    <row r="10">
      <c r="A10" t="inlineStr">
        <is>
          <t>ORD-1009</t>
        </is>
      </c>
      <c r="B10" s="2" t="n">
        <v>45838</v>
      </c>
      <c r="C10" t="inlineStr">
        <is>
          <t>South</t>
        </is>
      </c>
      <c r="D10" t="inlineStr">
        <is>
          <t>Rahul Iyer</t>
        </is>
      </c>
      <c r="E10" t="inlineStr">
        <is>
          <t>Retail Store</t>
        </is>
      </c>
      <c r="F10" t="inlineStr">
        <is>
          <t>Stationery</t>
        </is>
      </c>
      <c r="G10" t="inlineStr">
        <is>
          <t>Notebook Set</t>
        </is>
      </c>
      <c r="H10" t="n">
        <v>8</v>
      </c>
      <c r="I10" s="3" t="n">
        <v>600</v>
      </c>
      <c r="J10" s="4" t="n">
        <v>0.15</v>
      </c>
      <c r="K10" s="3">
        <f>H10*I10</f>
        <v/>
      </c>
      <c r="L10" s="3">
        <f>H10*I10*J10</f>
        <v/>
      </c>
      <c r="M10" s="3">
        <f>H10*I10*(1-J10)</f>
        <v/>
      </c>
      <c r="N10" s="3">
        <f>ROUND(H10*I10*(1-J10),0)</f>
        <v/>
      </c>
      <c r="O10" s="3">
        <f>ROUNDUP(H10*I10*(1-J10),0)</f>
        <v/>
      </c>
      <c r="P10" s="3">
        <f>ROUNDDOWN(H10*I10*(1-J10),0)</f>
        <v/>
      </c>
    </row>
    <row r="11">
      <c r="A11" t="inlineStr">
        <is>
          <t>ORD-1010</t>
        </is>
      </c>
      <c r="B11" s="2" t="n">
        <v>45679</v>
      </c>
      <c r="C11" t="inlineStr">
        <is>
          <t>East</t>
        </is>
      </c>
      <c r="D11" t="inlineStr">
        <is>
          <t>Kabir Das</t>
        </is>
      </c>
      <c r="E11" t="inlineStr">
        <is>
          <t>Partner</t>
        </is>
      </c>
      <c r="F11" t="inlineStr">
        <is>
          <t>Furniture</t>
        </is>
      </c>
      <c r="G11" t="inlineStr">
        <is>
          <t>Filing Cabinet</t>
        </is>
      </c>
      <c r="H11" t="n">
        <v>7</v>
      </c>
      <c r="I11" s="3" t="n">
        <v>7000</v>
      </c>
      <c r="J11" s="4" t="n">
        <v>0.05</v>
      </c>
      <c r="K11" s="3">
        <f>H11*I11</f>
        <v/>
      </c>
      <c r="L11" s="3">
        <f>H11*I11*J11</f>
        <v/>
      </c>
      <c r="M11" s="3">
        <f>H11*I11*(1-J11)</f>
        <v/>
      </c>
      <c r="N11" s="3">
        <f>ROUND(H11*I11*(1-J11),0)</f>
        <v/>
      </c>
      <c r="O11" s="3">
        <f>ROUNDUP(H11*I11*(1-J11),0)</f>
        <v/>
      </c>
      <c r="P11" s="3">
        <f>ROUNDDOWN(H11*I11*(1-J11),0)</f>
        <v/>
      </c>
    </row>
    <row r="12">
      <c r="A12" t="inlineStr">
        <is>
          <t>ORD-1011</t>
        </is>
      </c>
      <c r="B12" s="2" t="n">
        <v>45872</v>
      </c>
      <c r="C12" t="inlineStr">
        <is>
          <t>West</t>
        </is>
      </c>
      <c r="D12" t="inlineStr">
        <is>
          <t>Vikram Shah</t>
        </is>
      </c>
      <c r="E12" t="inlineStr">
        <is>
          <t>Online</t>
        </is>
      </c>
      <c r="F12" t="inlineStr">
        <is>
          <t>Electronics</t>
        </is>
      </c>
      <c r="G12" t="inlineStr">
        <is>
          <t>Laptop Pro 14</t>
        </is>
      </c>
      <c r="H12" t="n">
        <v>12</v>
      </c>
      <c r="I12" s="3" t="n">
        <v>95000</v>
      </c>
      <c r="J12" s="4" t="n">
        <v>0.1</v>
      </c>
      <c r="K12" s="3">
        <f>H12*I12</f>
        <v/>
      </c>
      <c r="L12" s="3">
        <f>H12*I12*J12</f>
        <v/>
      </c>
      <c r="M12" s="3">
        <f>H12*I12*(1-J12)</f>
        <v/>
      </c>
      <c r="N12" s="3">
        <f>ROUND(H12*I12*(1-J12),0)</f>
        <v/>
      </c>
      <c r="O12" s="3">
        <f>ROUNDUP(H12*I12*(1-J12),0)</f>
        <v/>
      </c>
      <c r="P12" s="3">
        <f>ROUNDDOWN(H12*I12*(1-J12),0)</f>
        <v/>
      </c>
    </row>
    <row r="13">
      <c r="A13" t="inlineStr">
        <is>
          <t>ORD-1012</t>
        </is>
      </c>
      <c r="B13" s="2" t="n">
        <v>45817</v>
      </c>
      <c r="C13" t="inlineStr">
        <is>
          <t>North</t>
        </is>
      </c>
      <c r="D13" t="inlineStr">
        <is>
          <t>Priya Nair</t>
        </is>
      </c>
      <c r="E13" t="inlineStr">
        <is>
          <t>Retail Store</t>
        </is>
      </c>
      <c r="F13" t="inlineStr">
        <is>
          <t>Electronics</t>
        </is>
      </c>
      <c r="G13" t="inlineStr">
        <is>
          <t>Laptop Pro 14</t>
        </is>
      </c>
      <c r="H13" t="n">
        <v>5</v>
      </c>
      <c r="I13" s="3" t="n">
        <v>95000</v>
      </c>
      <c r="J13" s="4" t="n">
        <v>0.15</v>
      </c>
      <c r="K13" s="3">
        <f>H13*I13</f>
        <v/>
      </c>
      <c r="L13" s="3">
        <f>H13*I13*J13</f>
        <v/>
      </c>
      <c r="M13" s="3">
        <f>H13*I13*(1-J13)</f>
        <v/>
      </c>
      <c r="N13" s="3">
        <f>ROUND(H13*I13*(1-J13),0)</f>
        <v/>
      </c>
      <c r="O13" s="3">
        <f>ROUNDUP(H13*I13*(1-J13),0)</f>
        <v/>
      </c>
      <c r="P13" s="3">
        <f>ROUNDDOWN(H13*I13*(1-J13),0)</f>
        <v/>
      </c>
    </row>
    <row r="14">
      <c r="A14" t="inlineStr">
        <is>
          <t>ORD-1013</t>
        </is>
      </c>
      <c r="B14" s="2" t="n">
        <v>45963</v>
      </c>
      <c r="C14" t="inlineStr">
        <is>
          <t>West</t>
        </is>
      </c>
      <c r="D14" t="inlineStr">
        <is>
          <t>Ananya Joshi</t>
        </is>
      </c>
      <c r="E14" t="inlineStr">
        <is>
          <t>Online</t>
        </is>
      </c>
      <c r="F14" t="inlineStr">
        <is>
          <t>Furniture</t>
        </is>
      </c>
      <c r="G14" t="inlineStr">
        <is>
          <t>Standing Desk</t>
        </is>
      </c>
      <c r="H14" t="n">
        <v>10</v>
      </c>
      <c r="I14" s="3" t="n">
        <v>24000</v>
      </c>
      <c r="J14" s="4" t="n">
        <v>0</v>
      </c>
      <c r="K14" s="3">
        <f>H14*I14</f>
        <v/>
      </c>
      <c r="L14" s="3">
        <f>H14*I14*J14</f>
        <v/>
      </c>
      <c r="M14" s="3">
        <f>H14*I14*(1-J14)</f>
        <v/>
      </c>
      <c r="N14" s="3">
        <f>ROUND(H14*I14*(1-J14),0)</f>
        <v/>
      </c>
      <c r="O14" s="3">
        <f>ROUNDUP(H14*I14*(1-J14),0)</f>
        <v/>
      </c>
      <c r="P14" s="3">
        <f>ROUNDDOWN(H14*I14*(1-J14),0)</f>
        <v/>
      </c>
    </row>
    <row r="15">
      <c r="A15" t="inlineStr">
        <is>
          <t>ORD-1014</t>
        </is>
      </c>
      <c r="B15" s="2" t="n">
        <v>45686</v>
      </c>
      <c r="C15" t="inlineStr">
        <is>
          <t>South</t>
        </is>
      </c>
      <c r="D15" t="inlineStr">
        <is>
          <t>Sneha Rao</t>
        </is>
      </c>
      <c r="E15" t="inlineStr">
        <is>
          <t>Partner</t>
        </is>
      </c>
      <c r="F15" t="inlineStr">
        <is>
          <t>Electronics</t>
        </is>
      </c>
      <c r="G15" t="inlineStr">
        <is>
          <t>Noise Cancel Headset</t>
        </is>
      </c>
      <c r="H15" t="n">
        <v>13</v>
      </c>
      <c r="I15" s="3" t="n">
        <v>8500</v>
      </c>
      <c r="J15" s="4" t="n">
        <v>0.15</v>
      </c>
      <c r="K15" s="3">
        <f>H15*I15</f>
        <v/>
      </c>
      <c r="L15" s="3">
        <f>H15*I15*J15</f>
        <v/>
      </c>
      <c r="M15" s="3">
        <f>H15*I15*(1-J15)</f>
        <v/>
      </c>
      <c r="N15" s="3">
        <f>ROUND(H15*I15*(1-J15),0)</f>
        <v/>
      </c>
      <c r="O15" s="3">
        <f>ROUNDUP(H15*I15*(1-J15),0)</f>
        <v/>
      </c>
      <c r="P15" s="3">
        <f>ROUNDDOWN(H15*I15*(1-J15),0)</f>
        <v/>
      </c>
    </row>
    <row r="16">
      <c r="A16" t="inlineStr">
        <is>
          <t>ORD-1015</t>
        </is>
      </c>
      <c r="B16" s="2" t="n">
        <v>45678</v>
      </c>
      <c r="C16" t="inlineStr">
        <is>
          <t>North</t>
        </is>
      </c>
      <c r="D16" t="inlineStr">
        <is>
          <t>Priya Nair</t>
        </is>
      </c>
      <c r="E16" t="inlineStr">
        <is>
          <t>Partner</t>
        </is>
      </c>
      <c r="F16" t="inlineStr">
        <is>
          <t>Electronics</t>
        </is>
      </c>
      <c r="G16" t="inlineStr">
        <is>
          <t>Laptop Pro 14</t>
        </is>
      </c>
      <c r="H16" t="n">
        <v>4</v>
      </c>
      <c r="I16" s="3" t="n">
        <v>95000</v>
      </c>
      <c r="J16" s="4" t="n">
        <v>0.05</v>
      </c>
      <c r="K16" s="3">
        <f>H16*I16</f>
        <v/>
      </c>
      <c r="L16" s="3">
        <f>H16*I16*J16</f>
        <v/>
      </c>
      <c r="M16" s="3">
        <f>H16*I16*(1-J16)</f>
        <v/>
      </c>
      <c r="N16" s="3">
        <f>ROUND(H16*I16*(1-J16),0)</f>
        <v/>
      </c>
      <c r="O16" s="3">
        <f>ROUNDUP(H16*I16*(1-J16),0)</f>
        <v/>
      </c>
      <c r="P16" s="3">
        <f>ROUNDDOWN(H16*I16*(1-J16),0)</f>
        <v/>
      </c>
    </row>
    <row r="17">
      <c r="A17" t="inlineStr">
        <is>
          <t>ORD-1016</t>
        </is>
      </c>
      <c r="B17" s="2" t="n">
        <v>45972</v>
      </c>
      <c r="C17" t="inlineStr">
        <is>
          <t>East</t>
        </is>
      </c>
      <c r="D17" t="inlineStr">
        <is>
          <t>Kabir Das</t>
        </is>
      </c>
      <c r="E17" t="inlineStr">
        <is>
          <t>Online</t>
        </is>
      </c>
      <c r="F17" t="inlineStr">
        <is>
          <t>Stationery</t>
        </is>
      </c>
      <c r="G17" t="inlineStr">
        <is>
          <t>Gel Pen Pack</t>
        </is>
      </c>
      <c r="H17" t="n">
        <v>25</v>
      </c>
      <c r="I17" s="3" t="n">
        <v>250</v>
      </c>
      <c r="J17" s="4" t="n">
        <v>0</v>
      </c>
      <c r="K17" s="3">
        <f>H17*I17</f>
        <v/>
      </c>
      <c r="L17" s="3">
        <f>H17*I17*J17</f>
        <v/>
      </c>
      <c r="M17" s="3">
        <f>H17*I17*(1-J17)</f>
        <v/>
      </c>
      <c r="N17" s="3">
        <f>ROUND(H17*I17*(1-J17),0)</f>
        <v/>
      </c>
      <c r="O17" s="3">
        <f>ROUNDUP(H17*I17*(1-J17),0)</f>
        <v/>
      </c>
      <c r="P17" s="3">
        <f>ROUNDDOWN(H17*I17*(1-J17),0)</f>
        <v/>
      </c>
    </row>
    <row r="18">
      <c r="A18" t="inlineStr">
        <is>
          <t>ORD-1017</t>
        </is>
      </c>
      <c r="B18" s="2" t="n">
        <v>45786</v>
      </c>
      <c r="C18" t="inlineStr">
        <is>
          <t>North</t>
        </is>
      </c>
      <c r="D18" t="inlineStr">
        <is>
          <t>Aarav Mehta</t>
        </is>
      </c>
      <c r="E18" t="inlineStr">
        <is>
          <t>Partner</t>
        </is>
      </c>
      <c r="F18" t="inlineStr">
        <is>
          <t>Furniture</t>
        </is>
      </c>
      <c r="G18" t="inlineStr">
        <is>
          <t>Office Chair</t>
        </is>
      </c>
      <c r="H18" t="n">
        <v>21</v>
      </c>
      <c r="I18" s="3" t="n">
        <v>12000</v>
      </c>
      <c r="J18" s="4" t="n">
        <v>0</v>
      </c>
      <c r="K18" s="3">
        <f>H18*I18</f>
        <v/>
      </c>
      <c r="L18" s="3">
        <f>H18*I18*J18</f>
        <v/>
      </c>
      <c r="M18" s="3">
        <f>H18*I18*(1-J18)</f>
        <v/>
      </c>
      <c r="N18" s="3">
        <f>ROUND(H18*I18*(1-J18),0)</f>
        <v/>
      </c>
      <c r="O18" s="3">
        <f>ROUNDUP(H18*I18*(1-J18),0)</f>
        <v/>
      </c>
      <c r="P18" s="3">
        <f>ROUNDDOWN(H18*I18*(1-J18),0)</f>
        <v/>
      </c>
    </row>
    <row r="19">
      <c r="A19" t="inlineStr">
        <is>
          <t>ORD-1018</t>
        </is>
      </c>
      <c r="B19" s="2" t="n">
        <v>45969</v>
      </c>
      <c r="C19" t="inlineStr">
        <is>
          <t>South</t>
        </is>
      </c>
      <c r="D19" t="inlineStr">
        <is>
          <t>Rahul Iyer</t>
        </is>
      </c>
      <c r="E19" t="inlineStr">
        <is>
          <t>Online</t>
        </is>
      </c>
      <c r="F19" t="inlineStr">
        <is>
          <t>Furniture</t>
        </is>
      </c>
      <c r="G19" t="inlineStr">
        <is>
          <t>Filing Cabinet</t>
        </is>
      </c>
      <c r="H19" t="n">
        <v>9</v>
      </c>
      <c r="I19" s="3" t="n">
        <v>7000</v>
      </c>
      <c r="J19" s="4" t="n">
        <v>0</v>
      </c>
      <c r="K19" s="3">
        <f>H19*I19</f>
        <v/>
      </c>
      <c r="L19" s="3">
        <f>H19*I19*J19</f>
        <v/>
      </c>
      <c r="M19" s="3">
        <f>H19*I19*(1-J19)</f>
        <v/>
      </c>
      <c r="N19" s="3">
        <f>ROUND(H19*I19*(1-J19),0)</f>
        <v/>
      </c>
      <c r="O19" s="3">
        <f>ROUNDUP(H19*I19*(1-J19),0)</f>
        <v/>
      </c>
      <c r="P19" s="3">
        <f>ROUNDDOWN(H19*I19*(1-J19),0)</f>
        <v/>
      </c>
    </row>
    <row r="20">
      <c r="A20" t="inlineStr">
        <is>
          <t>ORD-1019</t>
        </is>
      </c>
      <c r="B20" s="2" t="n">
        <v>45919</v>
      </c>
      <c r="C20" t="inlineStr">
        <is>
          <t>North</t>
        </is>
      </c>
      <c r="D20" t="inlineStr">
        <is>
          <t>Aarav Mehta</t>
        </is>
      </c>
      <c r="E20" t="inlineStr">
        <is>
          <t>Partner</t>
        </is>
      </c>
      <c r="F20" t="inlineStr">
        <is>
          <t>Furniture</t>
        </is>
      </c>
      <c r="G20" t="inlineStr">
        <is>
          <t>Office Chair</t>
        </is>
      </c>
      <c r="H20" t="n">
        <v>14</v>
      </c>
      <c r="I20" s="3" t="n">
        <v>12000</v>
      </c>
      <c r="J20" s="4" t="n">
        <v>0</v>
      </c>
      <c r="K20" s="3">
        <f>H20*I20</f>
        <v/>
      </c>
      <c r="L20" s="3">
        <f>H20*I20*J20</f>
        <v/>
      </c>
      <c r="M20" s="3">
        <f>H20*I20*(1-J20)</f>
        <v/>
      </c>
      <c r="N20" s="3">
        <f>ROUND(H20*I20*(1-J20),0)</f>
        <v/>
      </c>
      <c r="O20" s="3">
        <f>ROUNDUP(H20*I20*(1-J20),0)</f>
        <v/>
      </c>
      <c r="P20" s="3">
        <f>ROUNDDOWN(H20*I20*(1-J20),0)</f>
        <v/>
      </c>
    </row>
    <row r="21">
      <c r="A21" t="inlineStr">
        <is>
          <t>ORD-1020</t>
        </is>
      </c>
      <c r="B21" s="2" t="n">
        <v>45794</v>
      </c>
      <c r="C21" t="inlineStr">
        <is>
          <t>North</t>
        </is>
      </c>
      <c r="D21" t="inlineStr">
        <is>
          <t>Aarav Mehta</t>
        </is>
      </c>
      <c r="E21" t="inlineStr">
        <is>
          <t>Online</t>
        </is>
      </c>
      <c r="F21" t="inlineStr">
        <is>
          <t>Furniture</t>
        </is>
      </c>
      <c r="G21" t="inlineStr">
        <is>
          <t>Standing Desk</t>
        </is>
      </c>
      <c r="H21" t="n">
        <v>25</v>
      </c>
      <c r="I21" s="3" t="n">
        <v>24000</v>
      </c>
      <c r="J21" s="4" t="n">
        <v>0</v>
      </c>
      <c r="K21" s="3">
        <f>H21*I21</f>
        <v/>
      </c>
      <c r="L21" s="3">
        <f>H21*I21*J21</f>
        <v/>
      </c>
      <c r="M21" s="3">
        <f>H21*I21*(1-J21)</f>
        <v/>
      </c>
      <c r="N21" s="3">
        <f>ROUND(H21*I21*(1-J21),0)</f>
        <v/>
      </c>
      <c r="O21" s="3">
        <f>ROUNDUP(H21*I21*(1-J21),0)</f>
        <v/>
      </c>
      <c r="P21" s="3">
        <f>ROUNDDOWN(H21*I21*(1-J21),0)</f>
        <v/>
      </c>
    </row>
    <row r="22">
      <c r="A22" t="inlineStr">
        <is>
          <t>ORD-1021</t>
        </is>
      </c>
      <c r="B22" s="2" t="n">
        <v>45746</v>
      </c>
      <c r="C22" t="inlineStr">
        <is>
          <t>North</t>
        </is>
      </c>
      <c r="D22" t="inlineStr">
        <is>
          <t>Priya Nair</t>
        </is>
      </c>
      <c r="E22" t="inlineStr">
        <is>
          <t>Partner</t>
        </is>
      </c>
      <c r="F22" t="inlineStr">
        <is>
          <t>Furniture</t>
        </is>
      </c>
      <c r="G22" t="inlineStr">
        <is>
          <t>Filing Cabinet</t>
        </is>
      </c>
      <c r="H22" t="n">
        <v>19</v>
      </c>
      <c r="I22" s="3" t="n">
        <v>7000</v>
      </c>
      <c r="J22" s="4" t="n">
        <v>0.15</v>
      </c>
      <c r="K22" s="3">
        <f>H22*I22</f>
        <v/>
      </c>
      <c r="L22" s="3">
        <f>H22*I22*J22</f>
        <v/>
      </c>
      <c r="M22" s="3">
        <f>H22*I22*(1-J22)</f>
        <v/>
      </c>
      <c r="N22" s="3">
        <f>ROUND(H22*I22*(1-J22),0)</f>
        <v/>
      </c>
      <c r="O22" s="3">
        <f>ROUNDUP(H22*I22*(1-J22),0)</f>
        <v/>
      </c>
      <c r="P22" s="3">
        <f>ROUNDDOWN(H22*I22*(1-J22),0)</f>
        <v/>
      </c>
    </row>
    <row r="23">
      <c r="A23" t="inlineStr">
        <is>
          <t>ORD-1022</t>
        </is>
      </c>
      <c r="B23" s="2" t="n">
        <v>45868</v>
      </c>
      <c r="C23" t="inlineStr">
        <is>
          <t>South</t>
        </is>
      </c>
      <c r="D23" t="inlineStr">
        <is>
          <t>Sneha Rao</t>
        </is>
      </c>
      <c r="E23" t="inlineStr">
        <is>
          <t>Online</t>
        </is>
      </c>
      <c r="F23" t="inlineStr">
        <is>
          <t>Stationery</t>
        </is>
      </c>
      <c r="G23" t="inlineStr">
        <is>
          <t>Notebook Set</t>
        </is>
      </c>
      <c r="H23" t="n">
        <v>24</v>
      </c>
      <c r="I23" s="3" t="n">
        <v>600</v>
      </c>
      <c r="J23" s="4" t="n">
        <v>0</v>
      </c>
      <c r="K23" s="3">
        <f>H23*I23</f>
        <v/>
      </c>
      <c r="L23" s="3">
        <f>H23*I23*J23</f>
        <v/>
      </c>
      <c r="M23" s="3">
        <f>H23*I23*(1-J23)</f>
        <v/>
      </c>
      <c r="N23" s="3">
        <f>ROUND(H23*I23*(1-J23),0)</f>
        <v/>
      </c>
      <c r="O23" s="3">
        <f>ROUNDUP(H23*I23*(1-J23),0)</f>
        <v/>
      </c>
      <c r="P23" s="3">
        <f>ROUNDDOWN(H23*I23*(1-J23),0)</f>
        <v/>
      </c>
    </row>
    <row r="24">
      <c r="A24" t="inlineStr">
        <is>
          <t>ORD-1023</t>
        </is>
      </c>
      <c r="B24" s="2" t="n">
        <v>45694</v>
      </c>
      <c r="C24" t="inlineStr">
        <is>
          <t>East</t>
        </is>
      </c>
      <c r="D24" t="inlineStr">
        <is>
          <t>Meera Sen</t>
        </is>
      </c>
      <c r="E24" t="inlineStr">
        <is>
          <t>Online</t>
        </is>
      </c>
      <c r="F24" t="inlineStr">
        <is>
          <t>Furniture</t>
        </is>
      </c>
      <c r="G24" t="inlineStr">
        <is>
          <t>Office Chair</t>
        </is>
      </c>
      <c r="H24" t="n">
        <v>8</v>
      </c>
      <c r="I24" s="3" t="n">
        <v>12000</v>
      </c>
      <c r="J24" s="4" t="n">
        <v>0</v>
      </c>
      <c r="K24" s="3">
        <f>H24*I24</f>
        <v/>
      </c>
      <c r="L24" s="3">
        <f>H24*I24*J24</f>
        <v/>
      </c>
      <c r="M24" s="3">
        <f>H24*I24*(1-J24)</f>
        <v/>
      </c>
      <c r="N24" s="3">
        <f>ROUND(H24*I24*(1-J24),0)</f>
        <v/>
      </c>
      <c r="O24" s="3">
        <f>ROUNDUP(H24*I24*(1-J24),0)</f>
        <v/>
      </c>
      <c r="P24" s="3">
        <f>ROUNDDOWN(H24*I24*(1-J24),0)</f>
        <v/>
      </c>
    </row>
    <row r="25">
      <c r="A25" t="inlineStr">
        <is>
          <t>ORD-1024</t>
        </is>
      </c>
      <c r="B25" s="2" t="n">
        <v>45930</v>
      </c>
      <c r="C25" t="inlineStr">
        <is>
          <t>West</t>
        </is>
      </c>
      <c r="D25" t="inlineStr">
        <is>
          <t>Vikram Shah</t>
        </is>
      </c>
      <c r="E25" t="inlineStr">
        <is>
          <t>Retail Store</t>
        </is>
      </c>
      <c r="F25" t="inlineStr">
        <is>
          <t>Furniture</t>
        </is>
      </c>
      <c r="G25" t="inlineStr">
        <is>
          <t>Office Chair</t>
        </is>
      </c>
      <c r="H25" t="n">
        <v>12</v>
      </c>
      <c r="I25" s="3" t="n">
        <v>12000</v>
      </c>
      <c r="J25" s="4" t="n">
        <v>0.1</v>
      </c>
      <c r="K25" s="3">
        <f>H25*I25</f>
        <v/>
      </c>
      <c r="L25" s="3">
        <f>H25*I25*J25</f>
        <v/>
      </c>
      <c r="M25" s="3">
        <f>H25*I25*(1-J25)</f>
        <v/>
      </c>
      <c r="N25" s="3">
        <f>ROUND(H25*I25*(1-J25),0)</f>
        <v/>
      </c>
      <c r="O25" s="3">
        <f>ROUNDUP(H25*I25*(1-J25),0)</f>
        <v/>
      </c>
      <c r="P25" s="3">
        <f>ROUNDDOWN(H25*I25*(1-J25),0)</f>
        <v/>
      </c>
    </row>
    <row r="26">
      <c r="A26" t="inlineStr">
        <is>
          <t>ORD-1025</t>
        </is>
      </c>
      <c r="B26" s="2" t="n">
        <v>45769</v>
      </c>
      <c r="C26" t="inlineStr">
        <is>
          <t>South</t>
        </is>
      </c>
      <c r="D26" t="inlineStr">
        <is>
          <t>Sneha Rao</t>
        </is>
      </c>
      <c r="E26" t="inlineStr">
        <is>
          <t>Retail Store</t>
        </is>
      </c>
      <c r="F26" t="inlineStr">
        <is>
          <t>Electronics</t>
        </is>
      </c>
      <c r="G26" t="inlineStr">
        <is>
          <t>Noise Cancel Headset</t>
        </is>
      </c>
      <c r="H26" t="n">
        <v>1</v>
      </c>
      <c r="I26" s="3" t="n">
        <v>8500</v>
      </c>
      <c r="J26" s="4" t="n">
        <v>0</v>
      </c>
      <c r="K26" s="3">
        <f>H26*I26</f>
        <v/>
      </c>
      <c r="L26" s="3">
        <f>H26*I26*J26</f>
        <v/>
      </c>
      <c r="M26" s="3">
        <f>H26*I26*(1-J26)</f>
        <v/>
      </c>
      <c r="N26" s="3">
        <f>ROUND(H26*I26*(1-J26),0)</f>
        <v/>
      </c>
      <c r="O26" s="3">
        <f>ROUNDUP(H26*I26*(1-J26),0)</f>
        <v/>
      </c>
      <c r="P26" s="3">
        <f>ROUNDDOWN(H26*I26*(1-J26),0)</f>
        <v/>
      </c>
    </row>
    <row r="27">
      <c r="A27" t="inlineStr">
        <is>
          <t>ORD-1026</t>
        </is>
      </c>
      <c r="B27" s="2" t="n">
        <v>45927</v>
      </c>
      <c r="C27" t="inlineStr">
        <is>
          <t>South</t>
        </is>
      </c>
      <c r="D27" t="inlineStr">
        <is>
          <t>Sneha Rao</t>
        </is>
      </c>
      <c r="E27" t="inlineStr">
        <is>
          <t>Retail Store</t>
        </is>
      </c>
      <c r="F27" t="inlineStr">
        <is>
          <t>Electronics</t>
        </is>
      </c>
      <c r="G27" t="inlineStr">
        <is>
          <t>Laptop Pro 14</t>
        </is>
      </c>
      <c r="H27" t="n">
        <v>9</v>
      </c>
      <c r="I27" s="3" t="n">
        <v>95000</v>
      </c>
      <c r="J27" s="4" t="n">
        <v>0</v>
      </c>
      <c r="K27" s="3">
        <f>H27*I27</f>
        <v/>
      </c>
      <c r="L27" s="3">
        <f>H27*I27*J27</f>
        <v/>
      </c>
      <c r="M27" s="3">
        <f>H27*I27*(1-J27)</f>
        <v/>
      </c>
      <c r="N27" s="3">
        <f>ROUND(H27*I27*(1-J27),0)</f>
        <v/>
      </c>
      <c r="O27" s="3">
        <f>ROUNDUP(H27*I27*(1-J27),0)</f>
        <v/>
      </c>
      <c r="P27" s="3">
        <f>ROUNDDOWN(H27*I27*(1-J27),0)</f>
        <v/>
      </c>
    </row>
    <row r="28">
      <c r="A28" t="inlineStr">
        <is>
          <t>ORD-1027</t>
        </is>
      </c>
      <c r="B28" s="2" t="n">
        <v>45756</v>
      </c>
      <c r="C28" t="inlineStr">
        <is>
          <t>South</t>
        </is>
      </c>
      <c r="D28" t="inlineStr">
        <is>
          <t>Rahul Iyer</t>
        </is>
      </c>
      <c r="E28" t="inlineStr">
        <is>
          <t>Retail Store</t>
        </is>
      </c>
      <c r="F28" t="inlineStr">
        <is>
          <t>Furniture</t>
        </is>
      </c>
      <c r="G28" t="inlineStr">
        <is>
          <t>Filing Cabinet</t>
        </is>
      </c>
      <c r="H28" t="n">
        <v>24</v>
      </c>
      <c r="I28" s="3" t="n">
        <v>7000</v>
      </c>
      <c r="J28" s="4" t="n">
        <v>0</v>
      </c>
      <c r="K28" s="3">
        <f>H28*I28</f>
        <v/>
      </c>
      <c r="L28" s="3">
        <f>H28*I28*J28</f>
        <v/>
      </c>
      <c r="M28" s="3">
        <f>H28*I28*(1-J28)</f>
        <v/>
      </c>
      <c r="N28" s="3">
        <f>ROUND(H28*I28*(1-J28),0)</f>
        <v/>
      </c>
      <c r="O28" s="3">
        <f>ROUNDUP(H28*I28*(1-J28),0)</f>
        <v/>
      </c>
      <c r="P28" s="3">
        <f>ROUNDDOWN(H28*I28*(1-J28),0)</f>
        <v/>
      </c>
    </row>
    <row r="29">
      <c r="A29" t="inlineStr">
        <is>
          <t>ORD-1028</t>
        </is>
      </c>
      <c r="B29" s="2" t="n">
        <v>45739</v>
      </c>
      <c r="C29" t="inlineStr">
        <is>
          <t>North</t>
        </is>
      </c>
      <c r="D29" t="inlineStr">
        <is>
          <t>Aarav Mehta</t>
        </is>
      </c>
      <c r="E29" t="inlineStr">
        <is>
          <t>Online</t>
        </is>
      </c>
      <c r="F29" t="inlineStr">
        <is>
          <t>Electronics</t>
        </is>
      </c>
      <c r="G29" t="inlineStr">
        <is>
          <t>Wireless Mouse</t>
        </is>
      </c>
      <c r="H29" t="n">
        <v>1</v>
      </c>
      <c r="I29" s="3" t="n">
        <v>1500</v>
      </c>
      <c r="J29" s="4" t="n">
        <v>0.05</v>
      </c>
      <c r="K29" s="3">
        <f>H29*I29</f>
        <v/>
      </c>
      <c r="L29" s="3">
        <f>H29*I29*J29</f>
        <v/>
      </c>
      <c r="M29" s="3">
        <f>H29*I29*(1-J29)</f>
        <v/>
      </c>
      <c r="N29" s="3">
        <f>ROUND(H29*I29*(1-J29),0)</f>
        <v/>
      </c>
      <c r="O29" s="3">
        <f>ROUNDUP(H29*I29*(1-J29),0)</f>
        <v/>
      </c>
      <c r="P29" s="3">
        <f>ROUNDDOWN(H29*I29*(1-J29),0)</f>
        <v/>
      </c>
    </row>
    <row r="30">
      <c r="A30" t="inlineStr">
        <is>
          <t>ORD-1029</t>
        </is>
      </c>
      <c r="B30" s="2" t="n">
        <v>45763</v>
      </c>
      <c r="C30" t="inlineStr">
        <is>
          <t>South</t>
        </is>
      </c>
      <c r="D30" t="inlineStr">
        <is>
          <t>Rahul Iyer</t>
        </is>
      </c>
      <c r="E30" t="inlineStr">
        <is>
          <t>Partner</t>
        </is>
      </c>
      <c r="F30" t="inlineStr">
        <is>
          <t>Stationery</t>
        </is>
      </c>
      <c r="G30" t="inlineStr">
        <is>
          <t>Gel Pen Pack</t>
        </is>
      </c>
      <c r="H30" t="n">
        <v>14</v>
      </c>
      <c r="I30" s="3" t="n">
        <v>250</v>
      </c>
      <c r="J30" s="4" t="n">
        <v>0</v>
      </c>
      <c r="K30" s="3">
        <f>H30*I30</f>
        <v/>
      </c>
      <c r="L30" s="3">
        <f>H30*I30*J30</f>
        <v/>
      </c>
      <c r="M30" s="3">
        <f>H30*I30*(1-J30)</f>
        <v/>
      </c>
      <c r="N30" s="3">
        <f>ROUND(H30*I30*(1-J30),0)</f>
        <v/>
      </c>
      <c r="O30" s="3">
        <f>ROUNDUP(H30*I30*(1-J30),0)</f>
        <v/>
      </c>
      <c r="P30" s="3">
        <f>ROUNDDOWN(H30*I30*(1-J30),0)</f>
        <v/>
      </c>
    </row>
    <row r="31">
      <c r="A31" t="inlineStr">
        <is>
          <t>ORD-1030</t>
        </is>
      </c>
      <c r="B31" s="2" t="n">
        <v>45753</v>
      </c>
      <c r="C31" t="inlineStr">
        <is>
          <t>South</t>
        </is>
      </c>
      <c r="D31" t="inlineStr">
        <is>
          <t>Rahul Iyer</t>
        </is>
      </c>
      <c r="E31" t="inlineStr">
        <is>
          <t>Online</t>
        </is>
      </c>
      <c r="F31" t="inlineStr">
        <is>
          <t>Furniture</t>
        </is>
      </c>
      <c r="G31" t="inlineStr">
        <is>
          <t>Filing Cabinet</t>
        </is>
      </c>
      <c r="H31" t="n">
        <v>14</v>
      </c>
      <c r="I31" s="3" t="n">
        <v>7000</v>
      </c>
      <c r="J31" s="4" t="n">
        <v>0</v>
      </c>
      <c r="K31" s="3">
        <f>H31*I31</f>
        <v/>
      </c>
      <c r="L31" s="3">
        <f>H31*I31*J31</f>
        <v/>
      </c>
      <c r="M31" s="3">
        <f>H31*I31*(1-J31)</f>
        <v/>
      </c>
      <c r="N31" s="3">
        <f>ROUND(H31*I31*(1-J31),0)</f>
        <v/>
      </c>
      <c r="O31" s="3">
        <f>ROUNDUP(H31*I31*(1-J31),0)</f>
        <v/>
      </c>
      <c r="P31" s="3">
        <f>ROUNDDOWN(H31*I31*(1-J31),0)</f>
        <v/>
      </c>
    </row>
    <row r="32">
      <c r="A32" t="inlineStr">
        <is>
          <t>ORD-1031</t>
        </is>
      </c>
      <c r="B32" s="2" t="n">
        <v>46005</v>
      </c>
      <c r="C32" t="inlineStr">
        <is>
          <t>West</t>
        </is>
      </c>
      <c r="D32" t="inlineStr">
        <is>
          <t>Ananya Joshi</t>
        </is>
      </c>
      <c r="E32" t="inlineStr">
        <is>
          <t>Partner</t>
        </is>
      </c>
      <c r="F32" t="inlineStr">
        <is>
          <t>Stationery</t>
        </is>
      </c>
      <c r="G32" t="inlineStr">
        <is>
          <t>A4 Paper Ream</t>
        </is>
      </c>
      <c r="H32" t="n">
        <v>12</v>
      </c>
      <c r="I32" s="3" t="n">
        <v>350</v>
      </c>
      <c r="J32" s="4" t="n">
        <v>0</v>
      </c>
      <c r="K32" s="3">
        <f>H32*I32</f>
        <v/>
      </c>
      <c r="L32" s="3">
        <f>H32*I32*J32</f>
        <v/>
      </c>
      <c r="M32" s="3">
        <f>H32*I32*(1-J32)</f>
        <v/>
      </c>
      <c r="N32" s="3">
        <f>ROUND(H32*I32*(1-J32),0)</f>
        <v/>
      </c>
      <c r="O32" s="3">
        <f>ROUNDUP(H32*I32*(1-J32),0)</f>
        <v/>
      </c>
      <c r="P32" s="3">
        <f>ROUNDDOWN(H32*I32*(1-J32),0)</f>
        <v/>
      </c>
    </row>
    <row r="33">
      <c r="A33" t="inlineStr">
        <is>
          <t>ORD-1032</t>
        </is>
      </c>
      <c r="B33" s="2" t="n">
        <v>45827</v>
      </c>
      <c r="C33" t="inlineStr">
        <is>
          <t>West</t>
        </is>
      </c>
      <c r="D33" t="inlineStr">
        <is>
          <t>Vikram Shah</t>
        </is>
      </c>
      <c r="E33" t="inlineStr">
        <is>
          <t>Online</t>
        </is>
      </c>
      <c r="F33" t="inlineStr">
        <is>
          <t>Furniture</t>
        </is>
      </c>
      <c r="G33" t="inlineStr">
        <is>
          <t>Filing Cabinet</t>
        </is>
      </c>
      <c r="H33" t="n">
        <v>5</v>
      </c>
      <c r="I33" s="3" t="n">
        <v>7000</v>
      </c>
      <c r="J33" s="4" t="n">
        <v>0.1</v>
      </c>
      <c r="K33" s="3">
        <f>H33*I33</f>
        <v/>
      </c>
      <c r="L33" s="3">
        <f>H33*I33*J33</f>
        <v/>
      </c>
      <c r="M33" s="3">
        <f>H33*I33*(1-J33)</f>
        <v/>
      </c>
      <c r="N33" s="3">
        <f>ROUND(H33*I33*(1-J33),0)</f>
        <v/>
      </c>
      <c r="O33" s="3">
        <f>ROUNDUP(H33*I33*(1-J33),0)</f>
        <v/>
      </c>
      <c r="P33" s="3">
        <f>ROUNDDOWN(H33*I33*(1-J33),0)</f>
        <v/>
      </c>
    </row>
    <row r="34">
      <c r="A34" t="inlineStr">
        <is>
          <t>ORD-1033</t>
        </is>
      </c>
      <c r="B34" s="2" t="n">
        <v>45952</v>
      </c>
      <c r="C34" t="inlineStr">
        <is>
          <t>South</t>
        </is>
      </c>
      <c r="D34" t="inlineStr">
        <is>
          <t>Sneha Rao</t>
        </is>
      </c>
      <c r="E34" t="inlineStr">
        <is>
          <t>Partner</t>
        </is>
      </c>
      <c r="F34" t="inlineStr">
        <is>
          <t>Furniture</t>
        </is>
      </c>
      <c r="G34" t="inlineStr">
        <is>
          <t>Standing Desk</t>
        </is>
      </c>
      <c r="H34" t="n">
        <v>3</v>
      </c>
      <c r="I34" s="3" t="n">
        <v>24000</v>
      </c>
      <c r="J34" s="4" t="n">
        <v>0.1</v>
      </c>
      <c r="K34" s="3">
        <f>H34*I34</f>
        <v/>
      </c>
      <c r="L34" s="3">
        <f>H34*I34*J34</f>
        <v/>
      </c>
      <c r="M34" s="3">
        <f>H34*I34*(1-J34)</f>
        <v/>
      </c>
      <c r="N34" s="3">
        <f>ROUND(H34*I34*(1-J34),0)</f>
        <v/>
      </c>
      <c r="O34" s="3">
        <f>ROUNDUP(H34*I34*(1-J34),0)</f>
        <v/>
      </c>
      <c r="P34" s="3">
        <f>ROUNDDOWN(H34*I34*(1-J34),0)</f>
        <v/>
      </c>
    </row>
    <row r="35">
      <c r="A35" t="inlineStr">
        <is>
          <t>ORD-1034</t>
        </is>
      </c>
      <c r="B35" s="2" t="n">
        <v>45783</v>
      </c>
      <c r="C35" t="inlineStr">
        <is>
          <t>East</t>
        </is>
      </c>
      <c r="D35" t="inlineStr">
        <is>
          <t>Kabir Das</t>
        </is>
      </c>
      <c r="E35" t="inlineStr">
        <is>
          <t>Partner</t>
        </is>
      </c>
      <c r="F35" t="inlineStr">
        <is>
          <t>Stationery</t>
        </is>
      </c>
      <c r="G35" t="inlineStr">
        <is>
          <t>Notebook Set</t>
        </is>
      </c>
      <c r="H35" t="n">
        <v>19</v>
      </c>
      <c r="I35" s="3" t="n">
        <v>600</v>
      </c>
      <c r="J35" s="4" t="n">
        <v>0.05</v>
      </c>
      <c r="K35" s="3">
        <f>H35*I35</f>
        <v/>
      </c>
      <c r="L35" s="3">
        <f>H35*I35*J35</f>
        <v/>
      </c>
      <c r="M35" s="3">
        <f>H35*I35*(1-J35)</f>
        <v/>
      </c>
      <c r="N35" s="3">
        <f>ROUND(H35*I35*(1-J35),0)</f>
        <v/>
      </c>
      <c r="O35" s="3">
        <f>ROUNDUP(H35*I35*(1-J35),0)</f>
        <v/>
      </c>
      <c r="P35" s="3">
        <f>ROUNDDOWN(H35*I35*(1-J35),0)</f>
        <v/>
      </c>
    </row>
    <row r="36">
      <c r="A36" t="inlineStr">
        <is>
          <t>ORD-1035</t>
        </is>
      </c>
      <c r="B36" s="2" t="n">
        <v>45691</v>
      </c>
      <c r="C36" t="inlineStr">
        <is>
          <t>East</t>
        </is>
      </c>
      <c r="D36" t="inlineStr">
        <is>
          <t>Meera Sen</t>
        </is>
      </c>
      <c r="E36" t="inlineStr">
        <is>
          <t>Retail Store</t>
        </is>
      </c>
      <c r="F36" t="inlineStr">
        <is>
          <t>Furniture</t>
        </is>
      </c>
      <c r="G36" t="inlineStr">
        <is>
          <t>Office Chair</t>
        </is>
      </c>
      <c r="H36" t="n">
        <v>2</v>
      </c>
      <c r="I36" s="3" t="n">
        <v>12000</v>
      </c>
      <c r="J36" s="4" t="n">
        <v>0.05</v>
      </c>
      <c r="K36" s="3">
        <f>H36*I36</f>
        <v/>
      </c>
      <c r="L36" s="3">
        <f>H36*I36*J36</f>
        <v/>
      </c>
      <c r="M36" s="3">
        <f>H36*I36*(1-J36)</f>
        <v/>
      </c>
      <c r="N36" s="3">
        <f>ROUND(H36*I36*(1-J36),0)</f>
        <v/>
      </c>
      <c r="O36" s="3">
        <f>ROUNDUP(H36*I36*(1-J36),0)</f>
        <v/>
      </c>
      <c r="P36" s="3">
        <f>ROUNDDOWN(H36*I36*(1-J36),0)</f>
        <v/>
      </c>
    </row>
    <row r="37">
      <c r="A37" t="inlineStr">
        <is>
          <t>ORD-1036</t>
        </is>
      </c>
      <c r="B37" s="2" t="n">
        <v>45923</v>
      </c>
      <c r="C37" t="inlineStr">
        <is>
          <t>South</t>
        </is>
      </c>
      <c r="D37" t="inlineStr">
        <is>
          <t>Sneha Rao</t>
        </is>
      </c>
      <c r="E37" t="inlineStr">
        <is>
          <t>Partner</t>
        </is>
      </c>
      <c r="F37" t="inlineStr">
        <is>
          <t>Electronics</t>
        </is>
      </c>
      <c r="G37" t="inlineStr">
        <is>
          <t>Wireless Mouse</t>
        </is>
      </c>
      <c r="H37" t="n">
        <v>10</v>
      </c>
      <c r="I37" s="3" t="n">
        <v>1500</v>
      </c>
      <c r="J37" s="4" t="n">
        <v>0.1</v>
      </c>
      <c r="K37" s="3">
        <f>H37*I37</f>
        <v/>
      </c>
      <c r="L37" s="3">
        <f>H37*I37*J37</f>
        <v/>
      </c>
      <c r="M37" s="3">
        <f>H37*I37*(1-J37)</f>
        <v/>
      </c>
      <c r="N37" s="3">
        <f>ROUND(H37*I37*(1-J37),0)</f>
        <v/>
      </c>
      <c r="O37" s="3">
        <f>ROUNDUP(H37*I37*(1-J37),0)</f>
        <v/>
      </c>
      <c r="P37" s="3">
        <f>ROUNDDOWN(H37*I37*(1-J37),0)</f>
        <v/>
      </c>
    </row>
    <row r="38">
      <c r="A38" t="inlineStr">
        <is>
          <t>ORD-1037</t>
        </is>
      </c>
      <c r="B38" s="2" t="n">
        <v>45891</v>
      </c>
      <c r="C38" t="inlineStr">
        <is>
          <t>West</t>
        </is>
      </c>
      <c r="D38" t="inlineStr">
        <is>
          <t>Ananya Joshi</t>
        </is>
      </c>
      <c r="E38" t="inlineStr">
        <is>
          <t>Online</t>
        </is>
      </c>
      <c r="F38" t="inlineStr">
        <is>
          <t>Electronics</t>
        </is>
      </c>
      <c r="G38" t="inlineStr">
        <is>
          <t>Laptop Pro 14</t>
        </is>
      </c>
      <c r="H38" t="n">
        <v>6</v>
      </c>
      <c r="I38" s="3" t="n">
        <v>95000</v>
      </c>
      <c r="J38" s="4" t="n">
        <v>0</v>
      </c>
      <c r="K38" s="3">
        <f>H38*I38</f>
        <v/>
      </c>
      <c r="L38" s="3">
        <f>H38*I38*J38</f>
        <v/>
      </c>
      <c r="M38" s="3">
        <f>H38*I38*(1-J38)</f>
        <v/>
      </c>
      <c r="N38" s="3">
        <f>ROUND(H38*I38*(1-J38),0)</f>
        <v/>
      </c>
      <c r="O38" s="3">
        <f>ROUNDUP(H38*I38*(1-J38),0)</f>
        <v/>
      </c>
      <c r="P38" s="3">
        <f>ROUNDDOWN(H38*I38*(1-J38),0)</f>
        <v/>
      </c>
    </row>
    <row r="39">
      <c r="A39" t="inlineStr">
        <is>
          <t>ORD-1038</t>
        </is>
      </c>
      <c r="B39" s="2" t="n">
        <v>45806</v>
      </c>
      <c r="C39" t="inlineStr">
        <is>
          <t>North</t>
        </is>
      </c>
      <c r="D39" t="inlineStr">
        <is>
          <t>Aarav Mehta</t>
        </is>
      </c>
      <c r="E39" t="inlineStr">
        <is>
          <t>Online</t>
        </is>
      </c>
      <c r="F39" t="inlineStr">
        <is>
          <t>Stationery</t>
        </is>
      </c>
      <c r="G39" t="inlineStr">
        <is>
          <t>Notebook Set</t>
        </is>
      </c>
      <c r="H39" t="n">
        <v>7</v>
      </c>
      <c r="I39" s="3" t="n">
        <v>600</v>
      </c>
      <c r="J39" s="4" t="n">
        <v>0.05</v>
      </c>
      <c r="K39" s="3">
        <f>H39*I39</f>
        <v/>
      </c>
      <c r="L39" s="3">
        <f>H39*I39*J39</f>
        <v/>
      </c>
      <c r="M39" s="3">
        <f>H39*I39*(1-J39)</f>
        <v/>
      </c>
      <c r="N39" s="3">
        <f>ROUND(H39*I39*(1-J39),0)</f>
        <v/>
      </c>
      <c r="O39" s="3">
        <f>ROUNDUP(H39*I39*(1-J39),0)</f>
        <v/>
      </c>
      <c r="P39" s="3">
        <f>ROUNDDOWN(H39*I39*(1-J39),0)</f>
        <v/>
      </c>
    </row>
    <row r="40">
      <c r="A40" t="inlineStr">
        <is>
          <t>ORD-1039</t>
        </is>
      </c>
      <c r="B40" s="2" t="n">
        <v>45805</v>
      </c>
      <c r="C40" t="inlineStr">
        <is>
          <t>East</t>
        </is>
      </c>
      <c r="D40" t="inlineStr">
        <is>
          <t>Kabir Das</t>
        </is>
      </c>
      <c r="E40" t="inlineStr">
        <is>
          <t>Partner</t>
        </is>
      </c>
      <c r="F40" t="inlineStr">
        <is>
          <t>Electronics</t>
        </is>
      </c>
      <c r="G40" t="inlineStr">
        <is>
          <t>Noise Cancel Headset</t>
        </is>
      </c>
      <c r="H40" t="n">
        <v>16</v>
      </c>
      <c r="I40" s="3" t="n">
        <v>8500</v>
      </c>
      <c r="J40" s="4" t="n">
        <v>0.15</v>
      </c>
      <c r="K40" s="3">
        <f>H40*I40</f>
        <v/>
      </c>
      <c r="L40" s="3">
        <f>H40*I40*J40</f>
        <v/>
      </c>
      <c r="M40" s="3">
        <f>H40*I40*(1-J40)</f>
        <v/>
      </c>
      <c r="N40" s="3">
        <f>ROUND(H40*I40*(1-J40),0)</f>
        <v/>
      </c>
      <c r="O40" s="3">
        <f>ROUNDUP(H40*I40*(1-J40),0)</f>
        <v/>
      </c>
      <c r="P40" s="3">
        <f>ROUNDDOWN(H40*I40*(1-J40),0)</f>
        <v/>
      </c>
    </row>
    <row r="41">
      <c r="A41" t="inlineStr">
        <is>
          <t>ORD-1040</t>
        </is>
      </c>
      <c r="B41" s="2" t="n">
        <v>45983</v>
      </c>
      <c r="C41" t="inlineStr">
        <is>
          <t>North</t>
        </is>
      </c>
      <c r="D41" t="inlineStr">
        <is>
          <t>Aarav Mehta</t>
        </is>
      </c>
      <c r="E41" t="inlineStr">
        <is>
          <t>Online</t>
        </is>
      </c>
      <c r="F41" t="inlineStr">
        <is>
          <t>Electronics</t>
        </is>
      </c>
      <c r="G41" t="inlineStr">
        <is>
          <t>Noise Cancel Headset</t>
        </is>
      </c>
      <c r="H41" t="n">
        <v>13</v>
      </c>
      <c r="I41" s="3" t="n">
        <v>8500</v>
      </c>
      <c r="J41" s="4" t="n">
        <v>0</v>
      </c>
      <c r="K41" s="3">
        <f>H41*I41</f>
        <v/>
      </c>
      <c r="L41" s="3">
        <f>H41*I41*J41</f>
        <v/>
      </c>
      <c r="M41" s="3">
        <f>H41*I41*(1-J41)</f>
        <v/>
      </c>
      <c r="N41" s="3">
        <f>ROUND(H41*I41*(1-J41),0)</f>
        <v/>
      </c>
      <c r="O41" s="3">
        <f>ROUNDUP(H41*I41*(1-J41),0)</f>
        <v/>
      </c>
      <c r="P41" s="3">
        <f>ROUNDDOWN(H41*I41*(1-J41),0)</f>
        <v/>
      </c>
    </row>
    <row r="42">
      <c r="A42" t="inlineStr">
        <is>
          <t>ORD-1041</t>
        </is>
      </c>
      <c r="B42" s="2" t="n">
        <v>45832</v>
      </c>
      <c r="C42" t="inlineStr">
        <is>
          <t>West</t>
        </is>
      </c>
      <c r="D42" t="inlineStr">
        <is>
          <t>Ananya Joshi</t>
        </is>
      </c>
      <c r="E42" t="inlineStr">
        <is>
          <t>Partner</t>
        </is>
      </c>
      <c r="F42" t="inlineStr">
        <is>
          <t>Stationery</t>
        </is>
      </c>
      <c r="G42" t="inlineStr">
        <is>
          <t>Notebook Set</t>
        </is>
      </c>
      <c r="H42" t="n">
        <v>16</v>
      </c>
      <c r="I42" s="3" t="n">
        <v>600</v>
      </c>
      <c r="J42" s="4" t="n">
        <v>0.1</v>
      </c>
      <c r="K42" s="3">
        <f>H42*I42</f>
        <v/>
      </c>
      <c r="L42" s="3">
        <f>H42*I42*J42</f>
        <v/>
      </c>
      <c r="M42" s="3">
        <f>H42*I42*(1-J42)</f>
        <v/>
      </c>
      <c r="N42" s="3">
        <f>ROUND(H42*I42*(1-J42),0)</f>
        <v/>
      </c>
      <c r="O42" s="3">
        <f>ROUNDUP(H42*I42*(1-J42),0)</f>
        <v/>
      </c>
      <c r="P42" s="3">
        <f>ROUNDDOWN(H42*I42*(1-J42),0)</f>
        <v/>
      </c>
    </row>
    <row r="43">
      <c r="A43" t="inlineStr">
        <is>
          <t>ORD-1042</t>
        </is>
      </c>
      <c r="B43" s="2" t="n">
        <v>45904</v>
      </c>
      <c r="C43" t="inlineStr">
        <is>
          <t>West</t>
        </is>
      </c>
      <c r="D43" t="inlineStr">
        <is>
          <t>Vikram Shah</t>
        </is>
      </c>
      <c r="E43" t="inlineStr">
        <is>
          <t>Online</t>
        </is>
      </c>
      <c r="F43" t="inlineStr">
        <is>
          <t>Furniture</t>
        </is>
      </c>
      <c r="G43" t="inlineStr">
        <is>
          <t>Office Chair</t>
        </is>
      </c>
      <c r="H43" t="n">
        <v>12</v>
      </c>
      <c r="I43" s="3" t="n">
        <v>12000</v>
      </c>
      <c r="J43" s="4" t="n">
        <v>0</v>
      </c>
      <c r="K43" s="3">
        <f>H43*I43</f>
        <v/>
      </c>
      <c r="L43" s="3">
        <f>H43*I43*J43</f>
        <v/>
      </c>
      <c r="M43" s="3">
        <f>H43*I43*(1-J43)</f>
        <v/>
      </c>
      <c r="N43" s="3">
        <f>ROUND(H43*I43*(1-J43),0)</f>
        <v/>
      </c>
      <c r="O43" s="3">
        <f>ROUNDUP(H43*I43*(1-J43),0)</f>
        <v/>
      </c>
      <c r="P43" s="3">
        <f>ROUNDDOWN(H43*I43*(1-J43),0)</f>
        <v/>
      </c>
    </row>
    <row r="44">
      <c r="A44" t="inlineStr">
        <is>
          <t>ORD-1043</t>
        </is>
      </c>
      <c r="B44" s="2" t="n">
        <v>45923</v>
      </c>
      <c r="C44" t="inlineStr">
        <is>
          <t>South</t>
        </is>
      </c>
      <c r="D44" t="inlineStr">
        <is>
          <t>Sneha Rao</t>
        </is>
      </c>
      <c r="E44" t="inlineStr">
        <is>
          <t>Online</t>
        </is>
      </c>
      <c r="F44" t="inlineStr">
        <is>
          <t>Furniture</t>
        </is>
      </c>
      <c r="G44" t="inlineStr">
        <is>
          <t>Office Chair</t>
        </is>
      </c>
      <c r="H44" t="n">
        <v>11</v>
      </c>
      <c r="I44" s="3" t="n">
        <v>12000</v>
      </c>
      <c r="J44" s="4" t="n">
        <v>0</v>
      </c>
      <c r="K44" s="3">
        <f>H44*I44</f>
        <v/>
      </c>
      <c r="L44" s="3">
        <f>H44*I44*J44</f>
        <v/>
      </c>
      <c r="M44" s="3">
        <f>H44*I44*(1-J44)</f>
        <v/>
      </c>
      <c r="N44" s="3">
        <f>ROUND(H44*I44*(1-J44),0)</f>
        <v/>
      </c>
      <c r="O44" s="3">
        <f>ROUNDUP(H44*I44*(1-J44),0)</f>
        <v/>
      </c>
      <c r="P44" s="3">
        <f>ROUNDDOWN(H44*I44*(1-J44),0)</f>
        <v/>
      </c>
    </row>
    <row r="45">
      <c r="A45" t="inlineStr">
        <is>
          <t>ORD-1044</t>
        </is>
      </c>
      <c r="B45" s="2" t="n">
        <v>45810</v>
      </c>
      <c r="C45" t="inlineStr">
        <is>
          <t>North</t>
        </is>
      </c>
      <c r="D45" t="inlineStr">
        <is>
          <t>Aarav Mehta</t>
        </is>
      </c>
      <c r="E45" t="inlineStr">
        <is>
          <t>Online</t>
        </is>
      </c>
      <c r="F45" t="inlineStr">
        <is>
          <t>Stationery</t>
        </is>
      </c>
      <c r="G45" t="inlineStr">
        <is>
          <t>Notebook Set</t>
        </is>
      </c>
      <c r="H45" t="n">
        <v>8</v>
      </c>
      <c r="I45" s="3" t="n">
        <v>600</v>
      </c>
      <c r="J45" s="4" t="n">
        <v>0.05</v>
      </c>
      <c r="K45" s="3">
        <f>H45*I45</f>
        <v/>
      </c>
      <c r="L45" s="3">
        <f>H45*I45*J45</f>
        <v/>
      </c>
      <c r="M45" s="3">
        <f>H45*I45*(1-J45)</f>
        <v/>
      </c>
      <c r="N45" s="3">
        <f>ROUND(H45*I45*(1-J45),0)</f>
        <v/>
      </c>
      <c r="O45" s="3">
        <f>ROUNDUP(H45*I45*(1-J45),0)</f>
        <v/>
      </c>
      <c r="P45" s="3">
        <f>ROUNDDOWN(H45*I45*(1-J45),0)</f>
        <v/>
      </c>
    </row>
    <row r="46">
      <c r="A46" t="inlineStr">
        <is>
          <t>ORD-1045</t>
        </is>
      </c>
      <c r="B46" s="2" t="n">
        <v>45976</v>
      </c>
      <c r="C46" t="inlineStr">
        <is>
          <t>East</t>
        </is>
      </c>
      <c r="D46" t="inlineStr">
        <is>
          <t>Kabir Das</t>
        </is>
      </c>
      <c r="E46" t="inlineStr">
        <is>
          <t>Partner</t>
        </is>
      </c>
      <c r="F46" t="inlineStr">
        <is>
          <t>Electronics</t>
        </is>
      </c>
      <c r="G46" t="inlineStr">
        <is>
          <t>Wireless Mouse</t>
        </is>
      </c>
      <c r="H46" t="n">
        <v>11</v>
      </c>
      <c r="I46" s="3" t="n">
        <v>1500</v>
      </c>
      <c r="J46" s="4" t="n">
        <v>0.05</v>
      </c>
      <c r="K46" s="3">
        <f>H46*I46</f>
        <v/>
      </c>
      <c r="L46" s="3">
        <f>H46*I46*J46</f>
        <v/>
      </c>
      <c r="M46" s="3">
        <f>H46*I46*(1-J46)</f>
        <v/>
      </c>
      <c r="N46" s="3">
        <f>ROUND(H46*I46*(1-J46),0)</f>
        <v/>
      </c>
      <c r="O46" s="3">
        <f>ROUNDUP(H46*I46*(1-J46),0)</f>
        <v/>
      </c>
      <c r="P46" s="3">
        <f>ROUNDDOWN(H46*I46*(1-J46),0)</f>
        <v/>
      </c>
    </row>
    <row r="47">
      <c r="A47" t="inlineStr">
        <is>
          <t>ORD-1046</t>
        </is>
      </c>
      <c r="B47" s="2" t="n">
        <v>45770</v>
      </c>
      <c r="C47" t="inlineStr">
        <is>
          <t>North</t>
        </is>
      </c>
      <c r="D47" t="inlineStr">
        <is>
          <t>Priya Nair</t>
        </is>
      </c>
      <c r="E47" t="inlineStr">
        <is>
          <t>Retail Store</t>
        </is>
      </c>
      <c r="F47" t="inlineStr">
        <is>
          <t>Furniture</t>
        </is>
      </c>
      <c r="G47" t="inlineStr">
        <is>
          <t>Filing Cabinet</t>
        </is>
      </c>
      <c r="H47" t="n">
        <v>19</v>
      </c>
      <c r="I47" s="3" t="n">
        <v>7000</v>
      </c>
      <c r="J47" s="4" t="n">
        <v>0.1</v>
      </c>
      <c r="K47" s="3">
        <f>H47*I47</f>
        <v/>
      </c>
      <c r="L47" s="3">
        <f>H47*I47*J47</f>
        <v/>
      </c>
      <c r="M47" s="3">
        <f>H47*I47*(1-J47)</f>
        <v/>
      </c>
      <c r="N47" s="3">
        <f>ROUND(H47*I47*(1-J47),0)</f>
        <v/>
      </c>
      <c r="O47" s="3">
        <f>ROUNDUP(H47*I47*(1-J47),0)</f>
        <v/>
      </c>
      <c r="P47" s="3">
        <f>ROUNDDOWN(H47*I47*(1-J47),0)</f>
        <v/>
      </c>
    </row>
    <row r="48">
      <c r="A48" t="inlineStr">
        <is>
          <t>ORD-1047</t>
        </is>
      </c>
      <c r="B48" s="2" t="n">
        <v>45664</v>
      </c>
      <c r="C48" t="inlineStr">
        <is>
          <t>East</t>
        </is>
      </c>
      <c r="D48" t="inlineStr">
        <is>
          <t>Kabir Das</t>
        </is>
      </c>
      <c r="E48" t="inlineStr">
        <is>
          <t>Online</t>
        </is>
      </c>
      <c r="F48" t="inlineStr">
        <is>
          <t>Electronics</t>
        </is>
      </c>
      <c r="G48" t="inlineStr">
        <is>
          <t>Noise Cancel Headset</t>
        </is>
      </c>
      <c r="H48" t="n">
        <v>15</v>
      </c>
      <c r="I48" s="3" t="n">
        <v>8500</v>
      </c>
      <c r="J48" s="4" t="n">
        <v>0</v>
      </c>
      <c r="K48" s="3">
        <f>H48*I48</f>
        <v/>
      </c>
      <c r="L48" s="3">
        <f>H48*I48*J48</f>
        <v/>
      </c>
      <c r="M48" s="3">
        <f>H48*I48*(1-J48)</f>
        <v/>
      </c>
      <c r="N48" s="3">
        <f>ROUND(H48*I48*(1-J48),0)</f>
        <v/>
      </c>
      <c r="O48" s="3">
        <f>ROUNDUP(H48*I48*(1-J48),0)</f>
        <v/>
      </c>
      <c r="P48" s="3">
        <f>ROUNDDOWN(H48*I48*(1-J48),0)</f>
        <v/>
      </c>
    </row>
    <row r="49">
      <c r="A49" t="inlineStr">
        <is>
          <t>ORD-1048</t>
        </is>
      </c>
      <c r="B49" s="2" t="n">
        <v>45733</v>
      </c>
      <c r="C49" t="inlineStr">
        <is>
          <t>North</t>
        </is>
      </c>
      <c r="D49" t="inlineStr">
        <is>
          <t>Aarav Mehta</t>
        </is>
      </c>
      <c r="E49" t="inlineStr">
        <is>
          <t>Online</t>
        </is>
      </c>
      <c r="F49" t="inlineStr">
        <is>
          <t>Electronics</t>
        </is>
      </c>
      <c r="G49" t="inlineStr">
        <is>
          <t>Noise Cancel Headset</t>
        </is>
      </c>
      <c r="H49" t="n">
        <v>8</v>
      </c>
      <c r="I49" s="3" t="n">
        <v>8500</v>
      </c>
      <c r="J49" s="4" t="n">
        <v>0</v>
      </c>
      <c r="K49" s="3">
        <f>H49*I49</f>
        <v/>
      </c>
      <c r="L49" s="3">
        <f>H49*I49*J49</f>
        <v/>
      </c>
      <c r="M49" s="3">
        <f>H49*I49*(1-J49)</f>
        <v/>
      </c>
      <c r="N49" s="3">
        <f>ROUND(H49*I49*(1-J49),0)</f>
        <v/>
      </c>
      <c r="O49" s="3">
        <f>ROUNDUP(H49*I49*(1-J49),0)</f>
        <v/>
      </c>
      <c r="P49" s="3">
        <f>ROUNDDOWN(H49*I49*(1-J49),0)</f>
        <v/>
      </c>
    </row>
    <row r="50">
      <c r="A50" t="inlineStr">
        <is>
          <t>ORD-1049</t>
        </is>
      </c>
      <c r="B50" s="2" t="n">
        <v>45748</v>
      </c>
      <c r="C50" t="inlineStr">
        <is>
          <t>West</t>
        </is>
      </c>
      <c r="D50" t="inlineStr">
        <is>
          <t>Ananya Joshi</t>
        </is>
      </c>
      <c r="E50" t="inlineStr">
        <is>
          <t>Partner</t>
        </is>
      </c>
      <c r="F50" t="inlineStr">
        <is>
          <t>Furniture</t>
        </is>
      </c>
      <c r="G50" t="inlineStr">
        <is>
          <t>Standing Desk</t>
        </is>
      </c>
      <c r="H50" t="n">
        <v>5</v>
      </c>
      <c r="I50" s="3" t="n">
        <v>24000</v>
      </c>
      <c r="J50" s="4" t="n">
        <v>0</v>
      </c>
      <c r="K50" s="3">
        <f>H50*I50</f>
        <v/>
      </c>
      <c r="L50" s="3">
        <f>H50*I50*J50</f>
        <v/>
      </c>
      <c r="M50" s="3">
        <f>H50*I50*(1-J50)</f>
        <v/>
      </c>
      <c r="N50" s="3">
        <f>ROUND(H50*I50*(1-J50),0)</f>
        <v/>
      </c>
      <c r="O50" s="3">
        <f>ROUNDUP(H50*I50*(1-J50),0)</f>
        <v/>
      </c>
      <c r="P50" s="3">
        <f>ROUNDDOWN(H50*I50*(1-J50),0)</f>
        <v/>
      </c>
    </row>
    <row r="51">
      <c r="A51" t="inlineStr">
        <is>
          <t>ORD-1050</t>
        </is>
      </c>
      <c r="B51" s="2" t="n">
        <v>45730</v>
      </c>
      <c r="C51" t="inlineStr">
        <is>
          <t>East</t>
        </is>
      </c>
      <c r="D51" t="inlineStr">
        <is>
          <t>Kabir Das</t>
        </is>
      </c>
      <c r="E51" t="inlineStr">
        <is>
          <t>Partner</t>
        </is>
      </c>
      <c r="F51" t="inlineStr">
        <is>
          <t>Electronics</t>
        </is>
      </c>
      <c r="G51" t="inlineStr">
        <is>
          <t>Laptop Pro 14</t>
        </is>
      </c>
      <c r="H51" t="n">
        <v>16</v>
      </c>
      <c r="I51" s="3" t="n">
        <v>95000</v>
      </c>
      <c r="J51" s="4" t="n">
        <v>0</v>
      </c>
      <c r="K51" s="3">
        <f>H51*I51</f>
        <v/>
      </c>
      <c r="L51" s="3">
        <f>H51*I51*J51</f>
        <v/>
      </c>
      <c r="M51" s="3">
        <f>H51*I51*(1-J51)</f>
        <v/>
      </c>
      <c r="N51" s="3">
        <f>ROUND(H51*I51*(1-J51),0)</f>
        <v/>
      </c>
      <c r="O51" s="3">
        <f>ROUNDUP(H51*I51*(1-J51),0)</f>
        <v/>
      </c>
      <c r="P51" s="3">
        <f>ROUNDDOWN(H51*I51*(1-J51),0)</f>
        <v/>
      </c>
    </row>
    <row r="52">
      <c r="A52" t="inlineStr">
        <is>
          <t>ORD-1051</t>
        </is>
      </c>
      <c r="B52" s="2" t="n">
        <v>45785</v>
      </c>
      <c r="C52" t="inlineStr">
        <is>
          <t>South</t>
        </is>
      </c>
      <c r="D52" t="inlineStr">
        <is>
          <t>Sneha Rao</t>
        </is>
      </c>
      <c r="E52" t="inlineStr">
        <is>
          <t>Partner</t>
        </is>
      </c>
      <c r="F52" t="inlineStr">
        <is>
          <t>Furniture</t>
        </is>
      </c>
      <c r="G52" t="inlineStr">
        <is>
          <t>Filing Cabinet</t>
        </is>
      </c>
      <c r="H52" t="n">
        <v>9</v>
      </c>
      <c r="I52" s="3" t="n">
        <v>7000</v>
      </c>
      <c r="J52" s="4" t="n">
        <v>0.1</v>
      </c>
      <c r="K52" s="3">
        <f>H52*I52</f>
        <v/>
      </c>
      <c r="L52" s="3">
        <f>H52*I52*J52</f>
        <v/>
      </c>
      <c r="M52" s="3">
        <f>H52*I52*(1-J52)</f>
        <v/>
      </c>
      <c r="N52" s="3">
        <f>ROUND(H52*I52*(1-J52),0)</f>
        <v/>
      </c>
      <c r="O52" s="3">
        <f>ROUNDUP(H52*I52*(1-J52),0)</f>
        <v/>
      </c>
      <c r="P52" s="3">
        <f>ROUNDDOWN(H52*I52*(1-J52),0)</f>
        <v/>
      </c>
    </row>
    <row r="53">
      <c r="A53" t="inlineStr">
        <is>
          <t>ORD-1052</t>
        </is>
      </c>
      <c r="B53" s="2" t="n">
        <v>45818</v>
      </c>
      <c r="C53" t="inlineStr">
        <is>
          <t>South</t>
        </is>
      </c>
      <c r="D53" t="inlineStr">
        <is>
          <t>Sneha Rao</t>
        </is>
      </c>
      <c r="E53" t="inlineStr">
        <is>
          <t>Retail Store</t>
        </is>
      </c>
      <c r="F53" t="inlineStr">
        <is>
          <t>Electronics</t>
        </is>
      </c>
      <c r="G53" t="inlineStr">
        <is>
          <t>Laptop Pro 14</t>
        </is>
      </c>
      <c r="H53" t="n">
        <v>16</v>
      </c>
      <c r="I53" s="3" t="n">
        <v>95000</v>
      </c>
      <c r="J53" s="4" t="n">
        <v>0.15</v>
      </c>
      <c r="K53" s="3">
        <f>H53*I53</f>
        <v/>
      </c>
      <c r="L53" s="3">
        <f>H53*I53*J53</f>
        <v/>
      </c>
      <c r="M53" s="3">
        <f>H53*I53*(1-J53)</f>
        <v/>
      </c>
      <c r="N53" s="3">
        <f>ROUND(H53*I53*(1-J53),0)</f>
        <v/>
      </c>
      <c r="O53" s="3">
        <f>ROUNDUP(H53*I53*(1-J53),0)</f>
        <v/>
      </c>
      <c r="P53" s="3">
        <f>ROUNDDOWN(H53*I53*(1-J53),0)</f>
        <v/>
      </c>
    </row>
    <row r="54">
      <c r="A54" t="inlineStr">
        <is>
          <t>ORD-1053</t>
        </is>
      </c>
      <c r="B54" s="2" t="n">
        <v>45716</v>
      </c>
      <c r="C54" t="inlineStr">
        <is>
          <t>South</t>
        </is>
      </c>
      <c r="D54" t="inlineStr">
        <is>
          <t>Rahul Iyer</t>
        </is>
      </c>
      <c r="E54" t="inlineStr">
        <is>
          <t>Partner</t>
        </is>
      </c>
      <c r="F54" t="inlineStr">
        <is>
          <t>Electronics</t>
        </is>
      </c>
      <c r="G54" t="inlineStr">
        <is>
          <t>Noise Cancel Headset</t>
        </is>
      </c>
      <c r="H54" t="n">
        <v>19</v>
      </c>
      <c r="I54" s="3" t="n">
        <v>8500</v>
      </c>
      <c r="J54" s="4" t="n">
        <v>0.05</v>
      </c>
      <c r="K54" s="3">
        <f>H54*I54</f>
        <v/>
      </c>
      <c r="L54" s="3">
        <f>H54*I54*J54</f>
        <v/>
      </c>
      <c r="M54" s="3">
        <f>H54*I54*(1-J54)</f>
        <v/>
      </c>
      <c r="N54" s="3">
        <f>ROUND(H54*I54*(1-J54),0)</f>
        <v/>
      </c>
      <c r="O54" s="3">
        <f>ROUNDUP(H54*I54*(1-J54),0)</f>
        <v/>
      </c>
      <c r="P54" s="3">
        <f>ROUNDDOWN(H54*I54*(1-J54),0)</f>
        <v/>
      </c>
    </row>
    <row r="55">
      <c r="A55" t="inlineStr">
        <is>
          <t>ORD-1054</t>
        </is>
      </c>
      <c r="B55" s="2" t="n">
        <v>45820</v>
      </c>
      <c r="C55" t="inlineStr">
        <is>
          <t>North</t>
        </is>
      </c>
      <c r="D55" t="inlineStr">
        <is>
          <t>Aarav Mehta</t>
        </is>
      </c>
      <c r="E55" t="inlineStr">
        <is>
          <t>Online</t>
        </is>
      </c>
      <c r="F55" t="inlineStr">
        <is>
          <t>Stationery</t>
        </is>
      </c>
      <c r="G55" t="inlineStr">
        <is>
          <t>Gel Pen Pack</t>
        </is>
      </c>
      <c r="H55" t="n">
        <v>4</v>
      </c>
      <c r="I55" s="3" t="n">
        <v>250</v>
      </c>
      <c r="J55" s="4" t="n">
        <v>0.05</v>
      </c>
      <c r="K55" s="3">
        <f>H55*I55</f>
        <v/>
      </c>
      <c r="L55" s="3">
        <f>H55*I55*J55</f>
        <v/>
      </c>
      <c r="M55" s="3">
        <f>H55*I55*(1-J55)</f>
        <v/>
      </c>
      <c r="N55" s="3">
        <f>ROUND(H55*I55*(1-J55),0)</f>
        <v/>
      </c>
      <c r="O55" s="3">
        <f>ROUNDUP(H55*I55*(1-J55),0)</f>
        <v/>
      </c>
      <c r="P55" s="3">
        <f>ROUNDDOWN(H55*I55*(1-J55),0)</f>
        <v/>
      </c>
    </row>
    <row r="56">
      <c r="A56" t="inlineStr">
        <is>
          <t>ORD-1055</t>
        </is>
      </c>
      <c r="B56" s="2" t="n">
        <v>45968</v>
      </c>
      <c r="C56" t="inlineStr">
        <is>
          <t>South</t>
        </is>
      </c>
      <c r="D56" t="inlineStr">
        <is>
          <t>Sneha Rao</t>
        </is>
      </c>
      <c r="E56" t="inlineStr">
        <is>
          <t>Retail Store</t>
        </is>
      </c>
      <c r="F56" t="inlineStr">
        <is>
          <t>Furniture</t>
        </is>
      </c>
      <c r="G56" t="inlineStr">
        <is>
          <t>Standing Desk</t>
        </is>
      </c>
      <c r="H56" t="n">
        <v>11</v>
      </c>
      <c r="I56" s="3" t="n">
        <v>24000</v>
      </c>
      <c r="J56" s="4" t="n">
        <v>0.05</v>
      </c>
      <c r="K56" s="3">
        <f>H56*I56</f>
        <v/>
      </c>
      <c r="L56" s="3">
        <f>H56*I56*J56</f>
        <v/>
      </c>
      <c r="M56" s="3">
        <f>H56*I56*(1-J56)</f>
        <v/>
      </c>
      <c r="N56" s="3">
        <f>ROUND(H56*I56*(1-J56),0)</f>
        <v/>
      </c>
      <c r="O56" s="3">
        <f>ROUNDUP(H56*I56*(1-J56),0)</f>
        <v/>
      </c>
      <c r="P56" s="3">
        <f>ROUNDDOWN(H56*I56*(1-J56),0)</f>
        <v/>
      </c>
    </row>
    <row r="57">
      <c r="A57" t="inlineStr">
        <is>
          <t>ORD-1056</t>
        </is>
      </c>
      <c r="B57" s="2" t="n">
        <v>45747</v>
      </c>
      <c r="C57" t="inlineStr">
        <is>
          <t>North</t>
        </is>
      </c>
      <c r="D57" t="inlineStr">
        <is>
          <t>Priya Nair</t>
        </is>
      </c>
      <c r="E57" t="inlineStr">
        <is>
          <t>Retail Store</t>
        </is>
      </c>
      <c r="F57" t="inlineStr">
        <is>
          <t>Electronics</t>
        </is>
      </c>
      <c r="G57" t="inlineStr">
        <is>
          <t>Wireless Mouse</t>
        </is>
      </c>
      <c r="H57" t="n">
        <v>20</v>
      </c>
      <c r="I57" s="3" t="n">
        <v>1500</v>
      </c>
      <c r="J57" s="4" t="n">
        <v>0.05</v>
      </c>
      <c r="K57" s="3">
        <f>H57*I57</f>
        <v/>
      </c>
      <c r="L57" s="3">
        <f>H57*I57*J57</f>
        <v/>
      </c>
      <c r="M57" s="3">
        <f>H57*I57*(1-J57)</f>
        <v/>
      </c>
      <c r="N57" s="3">
        <f>ROUND(H57*I57*(1-J57),0)</f>
        <v/>
      </c>
      <c r="O57" s="3">
        <f>ROUNDUP(H57*I57*(1-J57),0)</f>
        <v/>
      </c>
      <c r="P57" s="3">
        <f>ROUNDDOWN(H57*I57*(1-J57),0)</f>
        <v/>
      </c>
    </row>
    <row r="58">
      <c r="A58" t="inlineStr">
        <is>
          <t>ORD-1057</t>
        </is>
      </c>
      <c r="B58" s="2" t="n">
        <v>45920</v>
      </c>
      <c r="C58" t="inlineStr">
        <is>
          <t>East</t>
        </is>
      </c>
      <c r="D58" t="inlineStr">
        <is>
          <t>Meera Sen</t>
        </is>
      </c>
      <c r="E58" t="inlineStr">
        <is>
          <t>Retail Store</t>
        </is>
      </c>
      <c r="F58" t="inlineStr">
        <is>
          <t>Furniture</t>
        </is>
      </c>
      <c r="G58" t="inlineStr">
        <is>
          <t>Office Chair</t>
        </is>
      </c>
      <c r="H58" t="n">
        <v>25</v>
      </c>
      <c r="I58" s="3" t="n">
        <v>12000</v>
      </c>
      <c r="J58" s="4" t="n">
        <v>0</v>
      </c>
      <c r="K58" s="3">
        <f>H58*I58</f>
        <v/>
      </c>
      <c r="L58" s="3">
        <f>H58*I58*J58</f>
        <v/>
      </c>
      <c r="M58" s="3">
        <f>H58*I58*(1-J58)</f>
        <v/>
      </c>
      <c r="N58" s="3">
        <f>ROUND(H58*I58*(1-J58),0)</f>
        <v/>
      </c>
      <c r="O58" s="3">
        <f>ROUNDUP(H58*I58*(1-J58),0)</f>
        <v/>
      </c>
      <c r="P58" s="3">
        <f>ROUNDDOWN(H58*I58*(1-J58),0)</f>
        <v/>
      </c>
    </row>
    <row r="59">
      <c r="A59" t="inlineStr">
        <is>
          <t>ORD-1058</t>
        </is>
      </c>
      <c r="B59" s="2" t="n">
        <v>45703</v>
      </c>
      <c r="C59" t="inlineStr">
        <is>
          <t>South</t>
        </is>
      </c>
      <c r="D59" t="inlineStr">
        <is>
          <t>Sneha Rao</t>
        </is>
      </c>
      <c r="E59" t="inlineStr">
        <is>
          <t>Online</t>
        </is>
      </c>
      <c r="F59" t="inlineStr">
        <is>
          <t>Stationery</t>
        </is>
      </c>
      <c r="G59" t="inlineStr">
        <is>
          <t>Notebook Set</t>
        </is>
      </c>
      <c r="H59" t="n">
        <v>1</v>
      </c>
      <c r="I59" s="3" t="n">
        <v>600</v>
      </c>
      <c r="J59" s="4" t="n">
        <v>0</v>
      </c>
      <c r="K59" s="3">
        <f>H59*I59</f>
        <v/>
      </c>
      <c r="L59" s="3">
        <f>H59*I59*J59</f>
        <v/>
      </c>
      <c r="M59" s="3">
        <f>H59*I59*(1-J59)</f>
        <v/>
      </c>
      <c r="N59" s="3">
        <f>ROUND(H59*I59*(1-J59),0)</f>
        <v/>
      </c>
      <c r="O59" s="3">
        <f>ROUNDUP(H59*I59*(1-J59),0)</f>
        <v/>
      </c>
      <c r="P59" s="3">
        <f>ROUNDDOWN(H59*I59*(1-J59),0)</f>
        <v/>
      </c>
    </row>
    <row r="60">
      <c r="A60" t="inlineStr">
        <is>
          <t>ORD-1059</t>
        </is>
      </c>
      <c r="B60" s="2" t="n">
        <v>45844</v>
      </c>
      <c r="C60" t="inlineStr">
        <is>
          <t>West</t>
        </is>
      </c>
      <c r="D60" t="inlineStr">
        <is>
          <t>Vikram Shah</t>
        </is>
      </c>
      <c r="E60" t="inlineStr">
        <is>
          <t>Online</t>
        </is>
      </c>
      <c r="F60" t="inlineStr">
        <is>
          <t>Electronics</t>
        </is>
      </c>
      <c r="G60" t="inlineStr">
        <is>
          <t>Wireless Mouse</t>
        </is>
      </c>
      <c r="H60" t="n">
        <v>13</v>
      </c>
      <c r="I60" s="3" t="n">
        <v>1500</v>
      </c>
      <c r="J60" s="4" t="n">
        <v>0.05</v>
      </c>
      <c r="K60" s="3">
        <f>H60*I60</f>
        <v/>
      </c>
      <c r="L60" s="3">
        <f>H60*I60*J60</f>
        <v/>
      </c>
      <c r="M60" s="3">
        <f>H60*I60*(1-J60)</f>
        <v/>
      </c>
      <c r="N60" s="3">
        <f>ROUND(H60*I60*(1-J60),0)</f>
        <v/>
      </c>
      <c r="O60" s="3">
        <f>ROUNDUP(H60*I60*(1-J60),0)</f>
        <v/>
      </c>
      <c r="P60" s="3">
        <f>ROUNDDOWN(H60*I60*(1-J60),0)</f>
        <v/>
      </c>
    </row>
    <row r="61">
      <c r="A61" t="inlineStr">
        <is>
          <t>ORD-1060</t>
        </is>
      </c>
      <c r="B61" s="2" t="n">
        <v>45713</v>
      </c>
      <c r="C61" t="inlineStr">
        <is>
          <t>South</t>
        </is>
      </c>
      <c r="D61" t="inlineStr">
        <is>
          <t>Rahul Iyer</t>
        </is>
      </c>
      <c r="E61" t="inlineStr">
        <is>
          <t>Retail Store</t>
        </is>
      </c>
      <c r="F61" t="inlineStr">
        <is>
          <t>Stationery</t>
        </is>
      </c>
      <c r="G61" t="inlineStr">
        <is>
          <t>A4 Paper Ream</t>
        </is>
      </c>
      <c r="H61" t="n">
        <v>20</v>
      </c>
      <c r="I61" s="3" t="n">
        <v>350</v>
      </c>
      <c r="J61" s="4" t="n">
        <v>0.1</v>
      </c>
      <c r="K61" s="3">
        <f>H61*I61</f>
        <v/>
      </c>
      <c r="L61" s="3">
        <f>H61*I61*J61</f>
        <v/>
      </c>
      <c r="M61" s="3">
        <f>H61*I61*(1-J61)</f>
        <v/>
      </c>
      <c r="N61" s="3">
        <f>ROUND(H61*I61*(1-J61),0)</f>
        <v/>
      </c>
      <c r="O61" s="3">
        <f>ROUNDUP(H61*I61*(1-J61),0)</f>
        <v/>
      </c>
      <c r="P61" s="3">
        <f>ROUNDDOWN(H61*I61*(1-J61),0)</f>
        <v/>
      </c>
    </row>
    <row r="62">
      <c r="A62" t="inlineStr">
        <is>
          <t>ORD-1061</t>
        </is>
      </c>
      <c r="B62" s="2" t="n">
        <v>46007</v>
      </c>
      <c r="C62" t="inlineStr">
        <is>
          <t>West</t>
        </is>
      </c>
      <c r="D62" t="inlineStr">
        <is>
          <t>Vikram Shah</t>
        </is>
      </c>
      <c r="E62" t="inlineStr">
        <is>
          <t>Retail Store</t>
        </is>
      </c>
      <c r="F62" t="inlineStr">
        <is>
          <t>Stationery</t>
        </is>
      </c>
      <c r="G62" t="inlineStr">
        <is>
          <t>A4 Paper Ream</t>
        </is>
      </c>
      <c r="H62" t="n">
        <v>24</v>
      </c>
      <c r="I62" s="3" t="n">
        <v>350</v>
      </c>
      <c r="J62" s="4" t="n">
        <v>0.1</v>
      </c>
      <c r="K62" s="3">
        <f>H62*I62</f>
        <v/>
      </c>
      <c r="L62" s="3">
        <f>H62*I62*J62</f>
        <v/>
      </c>
      <c r="M62" s="3">
        <f>H62*I62*(1-J62)</f>
        <v/>
      </c>
      <c r="N62" s="3">
        <f>ROUND(H62*I62*(1-J62),0)</f>
        <v/>
      </c>
      <c r="O62" s="3">
        <f>ROUNDUP(H62*I62*(1-J62),0)</f>
        <v/>
      </c>
      <c r="P62" s="3">
        <f>ROUNDDOWN(H62*I62*(1-J62),0)</f>
        <v/>
      </c>
    </row>
    <row r="63">
      <c r="A63" t="inlineStr">
        <is>
          <t>ORD-1062</t>
        </is>
      </c>
      <c r="B63" s="2" t="n">
        <v>45661</v>
      </c>
      <c r="C63" t="inlineStr">
        <is>
          <t>South</t>
        </is>
      </c>
      <c r="D63" t="inlineStr">
        <is>
          <t>Rahul Iyer</t>
        </is>
      </c>
      <c r="E63" t="inlineStr">
        <is>
          <t>Online</t>
        </is>
      </c>
      <c r="F63" t="inlineStr">
        <is>
          <t>Furniture</t>
        </is>
      </c>
      <c r="G63" t="inlineStr">
        <is>
          <t>Office Chair</t>
        </is>
      </c>
      <c r="H63" t="n">
        <v>15</v>
      </c>
      <c r="I63" s="3" t="n">
        <v>12000</v>
      </c>
      <c r="J63" s="4" t="n">
        <v>0.05</v>
      </c>
      <c r="K63" s="3">
        <f>H63*I63</f>
        <v/>
      </c>
      <c r="L63" s="3">
        <f>H63*I63*J63</f>
        <v/>
      </c>
      <c r="M63" s="3">
        <f>H63*I63*(1-J63)</f>
        <v/>
      </c>
      <c r="N63" s="3">
        <f>ROUND(H63*I63*(1-J63),0)</f>
        <v/>
      </c>
      <c r="O63" s="3">
        <f>ROUNDUP(H63*I63*(1-J63),0)</f>
        <v/>
      </c>
      <c r="P63" s="3">
        <f>ROUNDDOWN(H63*I63*(1-J63),0)</f>
        <v/>
      </c>
    </row>
    <row r="64">
      <c r="A64" t="inlineStr">
        <is>
          <t>ORD-1063</t>
        </is>
      </c>
      <c r="B64" s="2" t="n">
        <v>45704</v>
      </c>
      <c r="C64" t="inlineStr">
        <is>
          <t>West</t>
        </is>
      </c>
      <c r="D64" t="inlineStr">
        <is>
          <t>Ananya Joshi</t>
        </is>
      </c>
      <c r="E64" t="inlineStr">
        <is>
          <t>Online</t>
        </is>
      </c>
      <c r="F64" t="inlineStr">
        <is>
          <t>Electronics</t>
        </is>
      </c>
      <c r="G64" t="inlineStr">
        <is>
          <t>Noise Cancel Headset</t>
        </is>
      </c>
      <c r="H64" t="n">
        <v>4</v>
      </c>
      <c r="I64" s="3" t="n">
        <v>8500</v>
      </c>
      <c r="J64" s="4" t="n">
        <v>0.05</v>
      </c>
      <c r="K64" s="3">
        <f>H64*I64</f>
        <v/>
      </c>
      <c r="L64" s="3">
        <f>H64*I64*J64</f>
        <v/>
      </c>
      <c r="M64" s="3">
        <f>H64*I64*(1-J64)</f>
        <v/>
      </c>
      <c r="N64" s="3">
        <f>ROUND(H64*I64*(1-J64),0)</f>
        <v/>
      </c>
      <c r="O64" s="3">
        <f>ROUNDUP(H64*I64*(1-J64),0)</f>
        <v/>
      </c>
      <c r="P64" s="3">
        <f>ROUNDDOWN(H64*I64*(1-J64),0)</f>
        <v/>
      </c>
    </row>
    <row r="65">
      <c r="A65" t="inlineStr">
        <is>
          <t>ORD-1064</t>
        </is>
      </c>
      <c r="B65" s="2" t="n">
        <v>45839</v>
      </c>
      <c r="C65" t="inlineStr">
        <is>
          <t>North</t>
        </is>
      </c>
      <c r="D65" t="inlineStr">
        <is>
          <t>Priya Nair</t>
        </is>
      </c>
      <c r="E65" t="inlineStr">
        <is>
          <t>Partner</t>
        </is>
      </c>
      <c r="F65" t="inlineStr">
        <is>
          <t>Furniture</t>
        </is>
      </c>
      <c r="G65" t="inlineStr">
        <is>
          <t>Office Chair</t>
        </is>
      </c>
      <c r="H65" t="n">
        <v>9</v>
      </c>
      <c r="I65" s="3" t="n">
        <v>12000</v>
      </c>
      <c r="J65" s="4" t="n">
        <v>0</v>
      </c>
      <c r="K65" s="3">
        <f>H65*I65</f>
        <v/>
      </c>
      <c r="L65" s="3">
        <f>H65*I65*J65</f>
        <v/>
      </c>
      <c r="M65" s="3">
        <f>H65*I65*(1-J65)</f>
        <v/>
      </c>
      <c r="N65" s="3">
        <f>ROUND(H65*I65*(1-J65),0)</f>
        <v/>
      </c>
      <c r="O65" s="3">
        <f>ROUNDUP(H65*I65*(1-J65),0)</f>
        <v/>
      </c>
      <c r="P65" s="3">
        <f>ROUNDDOWN(H65*I65*(1-J65),0)</f>
        <v/>
      </c>
    </row>
    <row r="66">
      <c r="A66" t="inlineStr">
        <is>
          <t>ORD-1065</t>
        </is>
      </c>
      <c r="B66" s="2" t="n">
        <v>45823</v>
      </c>
      <c r="C66" t="inlineStr">
        <is>
          <t>West</t>
        </is>
      </c>
      <c r="D66" t="inlineStr">
        <is>
          <t>Ananya Joshi</t>
        </is>
      </c>
      <c r="E66" t="inlineStr">
        <is>
          <t>Retail Store</t>
        </is>
      </c>
      <c r="F66" t="inlineStr">
        <is>
          <t>Electronics</t>
        </is>
      </c>
      <c r="G66" t="inlineStr">
        <is>
          <t>Wireless Mouse</t>
        </is>
      </c>
      <c r="H66" t="n">
        <v>7</v>
      </c>
      <c r="I66" s="3" t="n">
        <v>1500</v>
      </c>
      <c r="J66" s="4" t="n">
        <v>0.1</v>
      </c>
      <c r="K66" s="3">
        <f>H66*I66</f>
        <v/>
      </c>
      <c r="L66" s="3">
        <f>H66*I66*J66</f>
        <v/>
      </c>
      <c r="M66" s="3">
        <f>H66*I66*(1-J66)</f>
        <v/>
      </c>
      <c r="N66" s="3">
        <f>ROUND(H66*I66*(1-J66),0)</f>
        <v/>
      </c>
      <c r="O66" s="3">
        <f>ROUNDUP(H66*I66*(1-J66),0)</f>
        <v/>
      </c>
      <c r="P66" s="3">
        <f>ROUNDDOWN(H66*I66*(1-J66),0)</f>
        <v/>
      </c>
    </row>
    <row r="67">
      <c r="A67" t="inlineStr">
        <is>
          <t>ORD-1066</t>
        </is>
      </c>
      <c r="B67" s="2" t="n">
        <v>45881</v>
      </c>
      <c r="C67" t="inlineStr">
        <is>
          <t>East</t>
        </is>
      </c>
      <c r="D67" t="inlineStr">
        <is>
          <t>Meera Sen</t>
        </is>
      </c>
      <c r="E67" t="inlineStr">
        <is>
          <t>Retail Store</t>
        </is>
      </c>
      <c r="F67" t="inlineStr">
        <is>
          <t>Furniture</t>
        </is>
      </c>
      <c r="G67" t="inlineStr">
        <is>
          <t>Standing Desk</t>
        </is>
      </c>
      <c r="H67" t="n">
        <v>25</v>
      </c>
      <c r="I67" s="3" t="n">
        <v>24000</v>
      </c>
      <c r="J67" s="4" t="n">
        <v>0.05</v>
      </c>
      <c r="K67" s="3">
        <f>H67*I67</f>
        <v/>
      </c>
      <c r="L67" s="3">
        <f>H67*I67*J67</f>
        <v/>
      </c>
      <c r="M67" s="3">
        <f>H67*I67*(1-J67)</f>
        <v/>
      </c>
      <c r="N67" s="3">
        <f>ROUND(H67*I67*(1-J67),0)</f>
        <v/>
      </c>
      <c r="O67" s="3">
        <f>ROUNDUP(H67*I67*(1-J67),0)</f>
        <v/>
      </c>
      <c r="P67" s="3">
        <f>ROUNDDOWN(H67*I67*(1-J67),0)</f>
        <v/>
      </c>
    </row>
    <row r="68">
      <c r="A68" t="inlineStr">
        <is>
          <t>ORD-1067</t>
        </is>
      </c>
      <c r="B68" s="2" t="n">
        <v>46013</v>
      </c>
      <c r="C68" t="inlineStr">
        <is>
          <t>South</t>
        </is>
      </c>
      <c r="D68" t="inlineStr">
        <is>
          <t>Rahul Iyer</t>
        </is>
      </c>
      <c r="E68" t="inlineStr">
        <is>
          <t>Retail Store</t>
        </is>
      </c>
      <c r="F68" t="inlineStr">
        <is>
          <t>Stationery</t>
        </is>
      </c>
      <c r="G68" t="inlineStr">
        <is>
          <t>Gel Pen Pack</t>
        </is>
      </c>
      <c r="H68" t="n">
        <v>13</v>
      </c>
      <c r="I68" s="3" t="n">
        <v>250</v>
      </c>
      <c r="J68" s="4" t="n">
        <v>0</v>
      </c>
      <c r="K68" s="3">
        <f>H68*I68</f>
        <v/>
      </c>
      <c r="L68" s="3">
        <f>H68*I68*J68</f>
        <v/>
      </c>
      <c r="M68" s="3">
        <f>H68*I68*(1-J68)</f>
        <v/>
      </c>
      <c r="N68" s="3">
        <f>ROUND(H68*I68*(1-J68),0)</f>
        <v/>
      </c>
      <c r="O68" s="3">
        <f>ROUNDUP(H68*I68*(1-J68),0)</f>
        <v/>
      </c>
      <c r="P68" s="3">
        <f>ROUNDDOWN(H68*I68*(1-J68),0)</f>
        <v/>
      </c>
    </row>
    <row r="69">
      <c r="A69" t="inlineStr">
        <is>
          <t>ORD-1068</t>
        </is>
      </c>
      <c r="B69" s="2" t="n">
        <v>45787</v>
      </c>
      <c r="C69" t="inlineStr">
        <is>
          <t>North</t>
        </is>
      </c>
      <c r="D69" t="inlineStr">
        <is>
          <t>Aarav Mehta</t>
        </is>
      </c>
      <c r="E69" t="inlineStr">
        <is>
          <t>Retail Store</t>
        </is>
      </c>
      <c r="F69" t="inlineStr">
        <is>
          <t>Electronics</t>
        </is>
      </c>
      <c r="G69" t="inlineStr">
        <is>
          <t>Noise Cancel Headset</t>
        </is>
      </c>
      <c r="H69" t="n">
        <v>8</v>
      </c>
      <c r="I69" s="3" t="n">
        <v>8500</v>
      </c>
      <c r="J69" s="4" t="n">
        <v>0</v>
      </c>
      <c r="K69" s="3">
        <f>H69*I69</f>
        <v/>
      </c>
      <c r="L69" s="3">
        <f>H69*I69*J69</f>
        <v/>
      </c>
      <c r="M69" s="3">
        <f>H69*I69*(1-J69)</f>
        <v/>
      </c>
      <c r="N69" s="3">
        <f>ROUND(H69*I69*(1-J69),0)</f>
        <v/>
      </c>
      <c r="O69" s="3">
        <f>ROUNDUP(H69*I69*(1-J69),0)</f>
        <v/>
      </c>
      <c r="P69" s="3">
        <f>ROUNDDOWN(H69*I69*(1-J69),0)</f>
        <v/>
      </c>
    </row>
    <row r="70">
      <c r="A70" t="inlineStr">
        <is>
          <t>ORD-1069</t>
        </is>
      </c>
      <c r="B70" s="2" t="n">
        <v>45850</v>
      </c>
      <c r="C70" t="inlineStr">
        <is>
          <t>West</t>
        </is>
      </c>
      <c r="D70" t="inlineStr">
        <is>
          <t>Ananya Joshi</t>
        </is>
      </c>
      <c r="E70" t="inlineStr">
        <is>
          <t>Retail Store</t>
        </is>
      </c>
      <c r="F70" t="inlineStr">
        <is>
          <t>Stationery</t>
        </is>
      </c>
      <c r="G70" t="inlineStr">
        <is>
          <t>Notebook Set</t>
        </is>
      </c>
      <c r="H70" t="n">
        <v>12</v>
      </c>
      <c r="I70" s="3" t="n">
        <v>600</v>
      </c>
      <c r="J70" s="4" t="n">
        <v>0.1</v>
      </c>
      <c r="K70" s="3">
        <f>H70*I70</f>
        <v/>
      </c>
      <c r="L70" s="3">
        <f>H70*I70*J70</f>
        <v/>
      </c>
      <c r="M70" s="3">
        <f>H70*I70*(1-J70)</f>
        <v/>
      </c>
      <c r="N70" s="3">
        <f>ROUND(H70*I70*(1-J70),0)</f>
        <v/>
      </c>
      <c r="O70" s="3">
        <f>ROUNDUP(H70*I70*(1-J70),0)</f>
        <v/>
      </c>
      <c r="P70" s="3">
        <f>ROUNDDOWN(H70*I70*(1-J70),0)</f>
        <v/>
      </c>
    </row>
    <row r="71">
      <c r="A71" t="inlineStr">
        <is>
          <t>ORD-1070</t>
        </is>
      </c>
      <c r="B71" s="2" t="n">
        <v>46005</v>
      </c>
      <c r="C71" t="inlineStr">
        <is>
          <t>West</t>
        </is>
      </c>
      <c r="D71" t="inlineStr">
        <is>
          <t>Vikram Shah</t>
        </is>
      </c>
      <c r="E71" t="inlineStr">
        <is>
          <t>Partner</t>
        </is>
      </c>
      <c r="F71" t="inlineStr">
        <is>
          <t>Electronics</t>
        </is>
      </c>
      <c r="G71" t="inlineStr">
        <is>
          <t>Wireless Mouse</t>
        </is>
      </c>
      <c r="H71" t="n">
        <v>4</v>
      </c>
      <c r="I71" s="3" t="n">
        <v>1500</v>
      </c>
      <c r="J71" s="4" t="n">
        <v>0.1</v>
      </c>
      <c r="K71" s="3">
        <f>H71*I71</f>
        <v/>
      </c>
      <c r="L71" s="3">
        <f>H71*I71*J71</f>
        <v/>
      </c>
      <c r="M71" s="3">
        <f>H71*I71*(1-J71)</f>
        <v/>
      </c>
      <c r="N71" s="3">
        <f>ROUND(H71*I71*(1-J71),0)</f>
        <v/>
      </c>
      <c r="O71" s="3">
        <f>ROUNDUP(H71*I71*(1-J71),0)</f>
        <v/>
      </c>
      <c r="P71" s="3">
        <f>ROUNDDOWN(H71*I71*(1-J71),0)</f>
        <v/>
      </c>
    </row>
    <row r="72">
      <c r="A72" t="inlineStr">
        <is>
          <t>ORD-1071</t>
        </is>
      </c>
      <c r="B72" s="2" t="n">
        <v>45961</v>
      </c>
      <c r="C72" t="inlineStr">
        <is>
          <t>West</t>
        </is>
      </c>
      <c r="D72" t="inlineStr">
        <is>
          <t>Ananya Joshi</t>
        </is>
      </c>
      <c r="E72" t="inlineStr">
        <is>
          <t>Online</t>
        </is>
      </c>
      <c r="F72" t="inlineStr">
        <is>
          <t>Furniture</t>
        </is>
      </c>
      <c r="G72" t="inlineStr">
        <is>
          <t>Office Chair</t>
        </is>
      </c>
      <c r="H72" t="n">
        <v>8</v>
      </c>
      <c r="I72" s="3" t="n">
        <v>12000</v>
      </c>
      <c r="J72" s="4" t="n">
        <v>0.05</v>
      </c>
      <c r="K72" s="3">
        <f>H72*I72</f>
        <v/>
      </c>
      <c r="L72" s="3">
        <f>H72*I72*J72</f>
        <v/>
      </c>
      <c r="M72" s="3">
        <f>H72*I72*(1-J72)</f>
        <v/>
      </c>
      <c r="N72" s="3">
        <f>ROUND(H72*I72*(1-J72),0)</f>
        <v/>
      </c>
      <c r="O72" s="3">
        <f>ROUNDUP(H72*I72*(1-J72),0)</f>
        <v/>
      </c>
      <c r="P72" s="3">
        <f>ROUNDDOWN(H72*I72*(1-J72),0)</f>
        <v/>
      </c>
    </row>
    <row r="73">
      <c r="A73" t="inlineStr">
        <is>
          <t>ORD-1072</t>
        </is>
      </c>
      <c r="B73" s="2" t="n">
        <v>45678</v>
      </c>
      <c r="C73" t="inlineStr">
        <is>
          <t>East</t>
        </is>
      </c>
      <c r="D73" t="inlineStr">
        <is>
          <t>Kabir Das</t>
        </is>
      </c>
      <c r="E73" t="inlineStr">
        <is>
          <t>Online</t>
        </is>
      </c>
      <c r="F73" t="inlineStr">
        <is>
          <t>Furniture</t>
        </is>
      </c>
      <c r="G73" t="inlineStr">
        <is>
          <t>Office Chair</t>
        </is>
      </c>
      <c r="H73" t="n">
        <v>15</v>
      </c>
      <c r="I73" s="3" t="n">
        <v>12000</v>
      </c>
      <c r="J73" s="4" t="n">
        <v>0.05</v>
      </c>
      <c r="K73" s="3">
        <f>H73*I73</f>
        <v/>
      </c>
      <c r="L73" s="3">
        <f>H73*I73*J73</f>
        <v/>
      </c>
      <c r="M73" s="3">
        <f>H73*I73*(1-J73)</f>
        <v/>
      </c>
      <c r="N73" s="3">
        <f>ROUND(H73*I73*(1-J73),0)</f>
        <v/>
      </c>
      <c r="O73" s="3">
        <f>ROUNDUP(H73*I73*(1-J73),0)</f>
        <v/>
      </c>
      <c r="P73" s="3">
        <f>ROUNDDOWN(H73*I73*(1-J73),0)</f>
        <v/>
      </c>
    </row>
    <row r="74">
      <c r="A74" t="inlineStr">
        <is>
          <t>ORD-1073</t>
        </is>
      </c>
      <c r="B74" s="2" t="n">
        <v>46012</v>
      </c>
      <c r="C74" t="inlineStr">
        <is>
          <t>East</t>
        </is>
      </c>
      <c r="D74" t="inlineStr">
        <is>
          <t>Meera Sen</t>
        </is>
      </c>
      <c r="E74" t="inlineStr">
        <is>
          <t>Retail Store</t>
        </is>
      </c>
      <c r="F74" t="inlineStr">
        <is>
          <t>Electronics</t>
        </is>
      </c>
      <c r="G74" t="inlineStr">
        <is>
          <t>Noise Cancel Headset</t>
        </is>
      </c>
      <c r="H74" t="n">
        <v>17</v>
      </c>
      <c r="I74" s="3" t="n">
        <v>8500</v>
      </c>
      <c r="J74" s="4" t="n">
        <v>0.1</v>
      </c>
      <c r="K74" s="3">
        <f>H74*I74</f>
        <v/>
      </c>
      <c r="L74" s="3">
        <f>H74*I74*J74</f>
        <v/>
      </c>
      <c r="M74" s="3">
        <f>H74*I74*(1-J74)</f>
        <v/>
      </c>
      <c r="N74" s="3">
        <f>ROUND(H74*I74*(1-J74),0)</f>
        <v/>
      </c>
      <c r="O74" s="3">
        <f>ROUNDUP(H74*I74*(1-J74),0)</f>
        <v/>
      </c>
      <c r="P74" s="3">
        <f>ROUNDDOWN(H74*I74*(1-J74),0)</f>
        <v/>
      </c>
    </row>
    <row r="75">
      <c r="A75" t="inlineStr">
        <is>
          <t>ORD-1074</t>
        </is>
      </c>
      <c r="B75" s="2" t="n">
        <v>45706</v>
      </c>
      <c r="C75" t="inlineStr">
        <is>
          <t>East</t>
        </is>
      </c>
      <c r="D75" t="inlineStr">
        <is>
          <t>Kabir Das</t>
        </is>
      </c>
      <c r="E75" t="inlineStr">
        <is>
          <t>Partner</t>
        </is>
      </c>
      <c r="F75" t="inlineStr">
        <is>
          <t>Electronics</t>
        </is>
      </c>
      <c r="G75" t="inlineStr">
        <is>
          <t>Wireless Mouse</t>
        </is>
      </c>
      <c r="H75" t="n">
        <v>2</v>
      </c>
      <c r="I75" s="3" t="n">
        <v>1500</v>
      </c>
      <c r="J75" s="4" t="n">
        <v>0.1</v>
      </c>
      <c r="K75" s="3">
        <f>H75*I75</f>
        <v/>
      </c>
      <c r="L75" s="3">
        <f>H75*I75*J75</f>
        <v/>
      </c>
      <c r="M75" s="3">
        <f>H75*I75*(1-J75)</f>
        <v/>
      </c>
      <c r="N75" s="3">
        <f>ROUND(H75*I75*(1-J75),0)</f>
        <v/>
      </c>
      <c r="O75" s="3">
        <f>ROUNDUP(H75*I75*(1-J75),0)</f>
        <v/>
      </c>
      <c r="P75" s="3">
        <f>ROUNDDOWN(H75*I75*(1-J75),0)</f>
        <v/>
      </c>
    </row>
    <row r="76">
      <c r="A76" t="inlineStr">
        <is>
          <t>ORD-1075</t>
        </is>
      </c>
      <c r="B76" s="2" t="n">
        <v>45704</v>
      </c>
      <c r="C76" t="inlineStr">
        <is>
          <t>West</t>
        </is>
      </c>
      <c r="D76" t="inlineStr">
        <is>
          <t>Ananya Joshi</t>
        </is>
      </c>
      <c r="E76" t="inlineStr">
        <is>
          <t>Retail Store</t>
        </is>
      </c>
      <c r="F76" t="inlineStr">
        <is>
          <t>Stationery</t>
        </is>
      </c>
      <c r="G76" t="inlineStr">
        <is>
          <t>A4 Paper Ream</t>
        </is>
      </c>
      <c r="H76" t="n">
        <v>5</v>
      </c>
      <c r="I76" s="3" t="n">
        <v>350</v>
      </c>
      <c r="J76" s="4" t="n">
        <v>0.1</v>
      </c>
      <c r="K76" s="3">
        <f>H76*I76</f>
        <v/>
      </c>
      <c r="L76" s="3">
        <f>H76*I76*J76</f>
        <v/>
      </c>
      <c r="M76" s="3">
        <f>H76*I76*(1-J76)</f>
        <v/>
      </c>
      <c r="N76" s="3">
        <f>ROUND(H76*I76*(1-J76),0)</f>
        <v/>
      </c>
      <c r="O76" s="3">
        <f>ROUNDUP(H76*I76*(1-J76),0)</f>
        <v/>
      </c>
      <c r="P76" s="3">
        <f>ROUNDDOWN(H76*I76*(1-J76),0)</f>
        <v/>
      </c>
    </row>
    <row r="77">
      <c r="A77" t="inlineStr">
        <is>
          <t>ORD-1076</t>
        </is>
      </c>
      <c r="B77" s="2" t="n">
        <v>45757</v>
      </c>
      <c r="C77" t="inlineStr">
        <is>
          <t>North</t>
        </is>
      </c>
      <c r="D77" t="inlineStr">
        <is>
          <t>Priya Nair</t>
        </is>
      </c>
      <c r="E77" t="inlineStr">
        <is>
          <t>Partner</t>
        </is>
      </c>
      <c r="F77" t="inlineStr">
        <is>
          <t>Electronics</t>
        </is>
      </c>
      <c r="G77" t="inlineStr">
        <is>
          <t>Laptop Pro 14</t>
        </is>
      </c>
      <c r="H77" t="n">
        <v>8</v>
      </c>
      <c r="I77" s="3" t="n">
        <v>95000</v>
      </c>
      <c r="J77" s="4" t="n">
        <v>0</v>
      </c>
      <c r="K77" s="3">
        <f>H77*I77</f>
        <v/>
      </c>
      <c r="L77" s="3">
        <f>H77*I77*J77</f>
        <v/>
      </c>
      <c r="M77" s="3">
        <f>H77*I77*(1-J77)</f>
        <v/>
      </c>
      <c r="N77" s="3">
        <f>ROUND(H77*I77*(1-J77),0)</f>
        <v/>
      </c>
      <c r="O77" s="3">
        <f>ROUNDUP(H77*I77*(1-J77),0)</f>
        <v/>
      </c>
      <c r="P77" s="3">
        <f>ROUNDDOWN(H77*I77*(1-J77),0)</f>
        <v/>
      </c>
    </row>
    <row r="78">
      <c r="A78" t="inlineStr">
        <is>
          <t>ORD-1077</t>
        </is>
      </c>
      <c r="B78" s="2" t="n">
        <v>45914</v>
      </c>
      <c r="C78" t="inlineStr">
        <is>
          <t>West</t>
        </is>
      </c>
      <c r="D78" t="inlineStr">
        <is>
          <t>Ananya Joshi</t>
        </is>
      </c>
      <c r="E78" t="inlineStr">
        <is>
          <t>Partner</t>
        </is>
      </c>
      <c r="F78" t="inlineStr">
        <is>
          <t>Electronics</t>
        </is>
      </c>
      <c r="G78" t="inlineStr">
        <is>
          <t>Noise Cancel Headset</t>
        </is>
      </c>
      <c r="H78" t="n">
        <v>10</v>
      </c>
      <c r="I78" s="3" t="n">
        <v>8500</v>
      </c>
      <c r="J78" s="4" t="n">
        <v>0.1</v>
      </c>
      <c r="K78" s="3">
        <f>H78*I78</f>
        <v/>
      </c>
      <c r="L78" s="3">
        <f>H78*I78*J78</f>
        <v/>
      </c>
      <c r="M78" s="3">
        <f>H78*I78*(1-J78)</f>
        <v/>
      </c>
      <c r="N78" s="3">
        <f>ROUND(H78*I78*(1-J78),0)</f>
        <v/>
      </c>
      <c r="O78" s="3">
        <f>ROUNDUP(H78*I78*(1-J78),0)</f>
        <v/>
      </c>
      <c r="P78" s="3">
        <f>ROUNDDOWN(H78*I78*(1-J78),0)</f>
        <v/>
      </c>
    </row>
    <row r="79">
      <c r="A79" t="inlineStr">
        <is>
          <t>ORD-1078</t>
        </is>
      </c>
      <c r="B79" s="2" t="n">
        <v>45989</v>
      </c>
      <c r="C79" t="inlineStr">
        <is>
          <t>North</t>
        </is>
      </c>
      <c r="D79" t="inlineStr">
        <is>
          <t>Priya Nair</t>
        </is>
      </c>
      <c r="E79" t="inlineStr">
        <is>
          <t>Partner</t>
        </is>
      </c>
      <c r="F79" t="inlineStr">
        <is>
          <t>Furniture</t>
        </is>
      </c>
      <c r="G79" t="inlineStr">
        <is>
          <t>Filing Cabinet</t>
        </is>
      </c>
      <c r="H79" t="n">
        <v>3</v>
      </c>
      <c r="I79" s="3" t="n">
        <v>7000</v>
      </c>
      <c r="J79" s="4" t="n">
        <v>0</v>
      </c>
      <c r="K79" s="3">
        <f>H79*I79</f>
        <v/>
      </c>
      <c r="L79" s="3">
        <f>H79*I79*J79</f>
        <v/>
      </c>
      <c r="M79" s="3">
        <f>H79*I79*(1-J79)</f>
        <v/>
      </c>
      <c r="N79" s="3">
        <f>ROUND(H79*I79*(1-J79),0)</f>
        <v/>
      </c>
      <c r="O79" s="3">
        <f>ROUNDUP(H79*I79*(1-J79),0)</f>
        <v/>
      </c>
      <c r="P79" s="3">
        <f>ROUNDDOWN(H79*I79*(1-J79),0)</f>
        <v/>
      </c>
    </row>
    <row r="80">
      <c r="A80" t="inlineStr">
        <is>
          <t>ORD-1079</t>
        </is>
      </c>
      <c r="B80" s="2" t="n">
        <v>46004</v>
      </c>
      <c r="C80" t="inlineStr">
        <is>
          <t>West</t>
        </is>
      </c>
      <c r="D80" t="inlineStr">
        <is>
          <t>Vikram Shah</t>
        </is>
      </c>
      <c r="E80" t="inlineStr">
        <is>
          <t>Retail Store</t>
        </is>
      </c>
      <c r="F80" t="inlineStr">
        <is>
          <t>Furniture</t>
        </is>
      </c>
      <c r="G80" t="inlineStr">
        <is>
          <t>Standing Desk</t>
        </is>
      </c>
      <c r="H80" t="n">
        <v>21</v>
      </c>
      <c r="I80" s="3" t="n">
        <v>24000</v>
      </c>
      <c r="J80" s="4" t="n">
        <v>0.1</v>
      </c>
      <c r="K80" s="3">
        <f>H80*I80</f>
        <v/>
      </c>
      <c r="L80" s="3">
        <f>H80*I80*J80</f>
        <v/>
      </c>
      <c r="M80" s="3">
        <f>H80*I80*(1-J80)</f>
        <v/>
      </c>
      <c r="N80" s="3">
        <f>ROUND(H80*I80*(1-J80),0)</f>
        <v/>
      </c>
      <c r="O80" s="3">
        <f>ROUNDUP(H80*I80*(1-J80),0)</f>
        <v/>
      </c>
      <c r="P80" s="3">
        <f>ROUNDDOWN(H80*I80*(1-J80),0)</f>
        <v/>
      </c>
    </row>
    <row r="81">
      <c r="A81" t="inlineStr">
        <is>
          <t>ORD-1080</t>
        </is>
      </c>
      <c r="B81" s="2" t="n">
        <v>45939</v>
      </c>
      <c r="C81" t="inlineStr">
        <is>
          <t>West</t>
        </is>
      </c>
      <c r="D81" t="inlineStr">
        <is>
          <t>Vikram Shah</t>
        </is>
      </c>
      <c r="E81" t="inlineStr">
        <is>
          <t>Retail Store</t>
        </is>
      </c>
      <c r="F81" t="inlineStr">
        <is>
          <t>Electronics</t>
        </is>
      </c>
      <c r="G81" t="inlineStr">
        <is>
          <t>Noise Cancel Headset</t>
        </is>
      </c>
      <c r="H81" t="n">
        <v>18</v>
      </c>
      <c r="I81" s="3" t="n">
        <v>8500</v>
      </c>
      <c r="J81" s="4" t="n">
        <v>0.05</v>
      </c>
      <c r="K81" s="3">
        <f>H81*I81</f>
        <v/>
      </c>
      <c r="L81" s="3">
        <f>H81*I81*J81</f>
        <v/>
      </c>
      <c r="M81" s="3">
        <f>H81*I81*(1-J81)</f>
        <v/>
      </c>
      <c r="N81" s="3">
        <f>ROUND(H81*I81*(1-J81),0)</f>
        <v/>
      </c>
      <c r="O81" s="3">
        <f>ROUNDUP(H81*I81*(1-J81),0)</f>
        <v/>
      </c>
      <c r="P81" s="3">
        <f>ROUNDDOWN(H81*I81*(1-J81),0)</f>
        <v/>
      </c>
    </row>
    <row r="82">
      <c r="A82" t="inlineStr">
        <is>
          <t>ORD-1081</t>
        </is>
      </c>
      <c r="B82" s="2" t="n">
        <v>45739</v>
      </c>
      <c r="C82" t="inlineStr">
        <is>
          <t>East</t>
        </is>
      </c>
      <c r="D82" t="inlineStr">
        <is>
          <t>Kabir Das</t>
        </is>
      </c>
      <c r="E82" t="inlineStr">
        <is>
          <t>Online</t>
        </is>
      </c>
      <c r="F82" t="inlineStr">
        <is>
          <t>Electronics</t>
        </is>
      </c>
      <c r="G82" t="inlineStr">
        <is>
          <t>Laptop Pro 14</t>
        </is>
      </c>
      <c r="H82" t="n">
        <v>17</v>
      </c>
      <c r="I82" s="3" t="n">
        <v>95000</v>
      </c>
      <c r="J82" s="4" t="n">
        <v>0</v>
      </c>
      <c r="K82" s="3">
        <f>H82*I82</f>
        <v/>
      </c>
      <c r="L82" s="3">
        <f>H82*I82*J82</f>
        <v/>
      </c>
      <c r="M82" s="3">
        <f>H82*I82*(1-J82)</f>
        <v/>
      </c>
      <c r="N82" s="3">
        <f>ROUND(H82*I82*(1-J82),0)</f>
        <v/>
      </c>
      <c r="O82" s="3">
        <f>ROUNDUP(H82*I82*(1-J82),0)</f>
        <v/>
      </c>
      <c r="P82" s="3">
        <f>ROUNDDOWN(H82*I82*(1-J82),0)</f>
        <v/>
      </c>
    </row>
    <row r="83">
      <c r="A83" t="inlineStr">
        <is>
          <t>ORD-1082</t>
        </is>
      </c>
      <c r="B83" s="2" t="n">
        <v>45769</v>
      </c>
      <c r="C83" t="inlineStr">
        <is>
          <t>North</t>
        </is>
      </c>
      <c r="D83" t="inlineStr">
        <is>
          <t>Priya Nair</t>
        </is>
      </c>
      <c r="E83" t="inlineStr">
        <is>
          <t>Online</t>
        </is>
      </c>
      <c r="F83" t="inlineStr">
        <is>
          <t>Furniture</t>
        </is>
      </c>
      <c r="G83" t="inlineStr">
        <is>
          <t>Filing Cabinet</t>
        </is>
      </c>
      <c r="H83" t="n">
        <v>20</v>
      </c>
      <c r="I83" s="3" t="n">
        <v>7000</v>
      </c>
      <c r="J83" s="4" t="n">
        <v>0</v>
      </c>
      <c r="K83" s="3">
        <f>H83*I83</f>
        <v/>
      </c>
      <c r="L83" s="3">
        <f>H83*I83*J83</f>
        <v/>
      </c>
      <c r="M83" s="3">
        <f>H83*I83*(1-J83)</f>
        <v/>
      </c>
      <c r="N83" s="3">
        <f>ROUND(H83*I83*(1-J83),0)</f>
        <v/>
      </c>
      <c r="O83" s="3">
        <f>ROUNDUP(H83*I83*(1-J83),0)</f>
        <v/>
      </c>
      <c r="P83" s="3">
        <f>ROUNDDOWN(H83*I83*(1-J83),0)</f>
        <v/>
      </c>
    </row>
    <row r="84">
      <c r="A84" t="inlineStr">
        <is>
          <t>ORD-1083</t>
        </is>
      </c>
      <c r="B84" s="2" t="n">
        <v>46006</v>
      </c>
      <c r="C84" t="inlineStr">
        <is>
          <t>South</t>
        </is>
      </c>
      <c r="D84" t="inlineStr">
        <is>
          <t>Rahul Iyer</t>
        </is>
      </c>
      <c r="E84" t="inlineStr">
        <is>
          <t>Retail Store</t>
        </is>
      </c>
      <c r="F84" t="inlineStr">
        <is>
          <t>Electronics</t>
        </is>
      </c>
      <c r="G84" t="inlineStr">
        <is>
          <t>Wireless Mouse</t>
        </is>
      </c>
      <c r="H84" t="n">
        <v>17</v>
      </c>
      <c r="I84" s="3" t="n">
        <v>1500</v>
      </c>
      <c r="J84" s="4" t="n">
        <v>0</v>
      </c>
      <c r="K84" s="3">
        <f>H84*I84</f>
        <v/>
      </c>
      <c r="L84" s="3">
        <f>H84*I84*J84</f>
        <v/>
      </c>
      <c r="M84" s="3">
        <f>H84*I84*(1-J84)</f>
        <v/>
      </c>
      <c r="N84" s="3">
        <f>ROUND(H84*I84*(1-J84),0)</f>
        <v/>
      </c>
      <c r="O84" s="3">
        <f>ROUNDUP(H84*I84*(1-J84),0)</f>
        <v/>
      </c>
      <c r="P84" s="3">
        <f>ROUNDDOWN(H84*I84*(1-J84),0)</f>
        <v/>
      </c>
    </row>
    <row r="85">
      <c r="A85" t="inlineStr">
        <is>
          <t>ORD-1084</t>
        </is>
      </c>
      <c r="B85" s="2" t="n">
        <v>45876</v>
      </c>
      <c r="C85" t="inlineStr">
        <is>
          <t>West</t>
        </is>
      </c>
      <c r="D85" t="inlineStr">
        <is>
          <t>Vikram Shah</t>
        </is>
      </c>
      <c r="E85" t="inlineStr">
        <is>
          <t>Online</t>
        </is>
      </c>
      <c r="F85" t="inlineStr">
        <is>
          <t>Electronics</t>
        </is>
      </c>
      <c r="G85" t="inlineStr">
        <is>
          <t>Wireless Mouse</t>
        </is>
      </c>
      <c r="H85" t="n">
        <v>25</v>
      </c>
      <c r="I85" s="3" t="n">
        <v>1500</v>
      </c>
      <c r="J85" s="4" t="n">
        <v>0.1</v>
      </c>
      <c r="K85" s="3">
        <f>H85*I85</f>
        <v/>
      </c>
      <c r="L85" s="3">
        <f>H85*I85*J85</f>
        <v/>
      </c>
      <c r="M85" s="3">
        <f>H85*I85*(1-J85)</f>
        <v/>
      </c>
      <c r="N85" s="3">
        <f>ROUND(H85*I85*(1-J85),0)</f>
        <v/>
      </c>
      <c r="O85" s="3">
        <f>ROUNDUP(H85*I85*(1-J85),0)</f>
        <v/>
      </c>
      <c r="P85" s="3">
        <f>ROUNDDOWN(H85*I85*(1-J85),0)</f>
        <v/>
      </c>
    </row>
    <row r="86">
      <c r="A86" t="inlineStr">
        <is>
          <t>ORD-1085</t>
        </is>
      </c>
      <c r="B86" s="2" t="n">
        <v>45863</v>
      </c>
      <c r="C86" t="inlineStr">
        <is>
          <t>East</t>
        </is>
      </c>
      <c r="D86" t="inlineStr">
        <is>
          <t>Meera Sen</t>
        </is>
      </c>
      <c r="E86" t="inlineStr">
        <is>
          <t>Online</t>
        </is>
      </c>
      <c r="F86" t="inlineStr">
        <is>
          <t>Stationery</t>
        </is>
      </c>
      <c r="G86" t="inlineStr">
        <is>
          <t>Notebook Set</t>
        </is>
      </c>
      <c r="H86" t="n">
        <v>7</v>
      </c>
      <c r="I86" s="3" t="n">
        <v>600</v>
      </c>
      <c r="J86" s="4" t="n">
        <v>0.1</v>
      </c>
      <c r="K86" s="3">
        <f>H86*I86</f>
        <v/>
      </c>
      <c r="L86" s="3">
        <f>H86*I86*J86</f>
        <v/>
      </c>
      <c r="M86" s="3">
        <f>H86*I86*(1-J86)</f>
        <v/>
      </c>
      <c r="N86" s="3">
        <f>ROUND(H86*I86*(1-J86),0)</f>
        <v/>
      </c>
      <c r="O86" s="3">
        <f>ROUNDUP(H86*I86*(1-J86),0)</f>
        <v/>
      </c>
      <c r="P86" s="3">
        <f>ROUNDDOWN(H86*I86*(1-J86),0)</f>
        <v/>
      </c>
    </row>
    <row r="87">
      <c r="A87" t="inlineStr">
        <is>
          <t>ORD-1086</t>
        </is>
      </c>
      <c r="B87" s="2" t="n">
        <v>45814</v>
      </c>
      <c r="C87" t="inlineStr">
        <is>
          <t>East</t>
        </is>
      </c>
      <c r="D87" t="inlineStr">
        <is>
          <t>Meera Sen</t>
        </is>
      </c>
      <c r="E87" t="inlineStr">
        <is>
          <t>Retail Store</t>
        </is>
      </c>
      <c r="F87" t="inlineStr">
        <is>
          <t>Furniture</t>
        </is>
      </c>
      <c r="G87" t="inlineStr">
        <is>
          <t>Office Chair</t>
        </is>
      </c>
      <c r="H87" t="n">
        <v>7</v>
      </c>
      <c r="I87" s="3" t="n">
        <v>12000</v>
      </c>
      <c r="J87" s="4" t="n">
        <v>0.1</v>
      </c>
      <c r="K87" s="3">
        <f>H87*I87</f>
        <v/>
      </c>
      <c r="L87" s="3">
        <f>H87*I87*J87</f>
        <v/>
      </c>
      <c r="M87" s="3">
        <f>H87*I87*(1-J87)</f>
        <v/>
      </c>
      <c r="N87" s="3">
        <f>ROUND(H87*I87*(1-J87),0)</f>
        <v/>
      </c>
      <c r="O87" s="3">
        <f>ROUNDUP(H87*I87*(1-J87),0)</f>
        <v/>
      </c>
      <c r="P87" s="3">
        <f>ROUNDDOWN(H87*I87*(1-J87),0)</f>
        <v/>
      </c>
    </row>
    <row r="88">
      <c r="A88" t="inlineStr">
        <is>
          <t>ORD-1087</t>
        </is>
      </c>
      <c r="B88" s="2" t="n">
        <v>45692</v>
      </c>
      <c r="C88" t="inlineStr">
        <is>
          <t>East</t>
        </is>
      </c>
      <c r="D88" t="inlineStr">
        <is>
          <t>Meera Sen</t>
        </is>
      </c>
      <c r="E88" t="inlineStr">
        <is>
          <t>Online</t>
        </is>
      </c>
      <c r="F88" t="inlineStr">
        <is>
          <t>Furniture</t>
        </is>
      </c>
      <c r="G88" t="inlineStr">
        <is>
          <t>Filing Cabinet</t>
        </is>
      </c>
      <c r="H88" t="n">
        <v>9</v>
      </c>
      <c r="I88" s="3" t="n">
        <v>7000</v>
      </c>
      <c r="J88" s="4" t="n">
        <v>0.05</v>
      </c>
      <c r="K88" s="3">
        <f>H88*I88</f>
        <v/>
      </c>
      <c r="L88" s="3">
        <f>H88*I88*J88</f>
        <v/>
      </c>
      <c r="M88" s="3">
        <f>H88*I88*(1-J88)</f>
        <v/>
      </c>
      <c r="N88" s="3">
        <f>ROUND(H88*I88*(1-J88),0)</f>
        <v/>
      </c>
      <c r="O88" s="3">
        <f>ROUNDUP(H88*I88*(1-J88),0)</f>
        <v/>
      </c>
      <c r="P88" s="3">
        <f>ROUNDDOWN(H88*I88*(1-J88),0)</f>
        <v/>
      </c>
    </row>
    <row r="89">
      <c r="A89" t="inlineStr">
        <is>
          <t>ORD-1088</t>
        </is>
      </c>
      <c r="B89" s="2" t="n">
        <v>45743</v>
      </c>
      <c r="C89" t="inlineStr">
        <is>
          <t>South</t>
        </is>
      </c>
      <c r="D89" t="inlineStr">
        <is>
          <t>Rahul Iyer</t>
        </is>
      </c>
      <c r="E89" t="inlineStr">
        <is>
          <t>Online</t>
        </is>
      </c>
      <c r="F89" t="inlineStr">
        <is>
          <t>Stationery</t>
        </is>
      </c>
      <c r="G89" t="inlineStr">
        <is>
          <t>Notebook Set</t>
        </is>
      </c>
      <c r="H89" t="n">
        <v>22</v>
      </c>
      <c r="I89" s="3" t="n">
        <v>600</v>
      </c>
      <c r="J89" s="4" t="n">
        <v>0</v>
      </c>
      <c r="K89" s="3">
        <f>H89*I89</f>
        <v/>
      </c>
      <c r="L89" s="3">
        <f>H89*I89*J89</f>
        <v/>
      </c>
      <c r="M89" s="3">
        <f>H89*I89*(1-J89)</f>
        <v/>
      </c>
      <c r="N89" s="3">
        <f>ROUND(H89*I89*(1-J89),0)</f>
        <v/>
      </c>
      <c r="O89" s="3">
        <f>ROUNDUP(H89*I89*(1-J89),0)</f>
        <v/>
      </c>
      <c r="P89" s="3">
        <f>ROUNDDOWN(H89*I89*(1-J89),0)</f>
        <v/>
      </c>
    </row>
    <row r="90">
      <c r="A90" t="inlineStr">
        <is>
          <t>ORD-1089</t>
        </is>
      </c>
      <c r="B90" s="2" t="n">
        <v>45950</v>
      </c>
      <c r="C90" t="inlineStr">
        <is>
          <t>West</t>
        </is>
      </c>
      <c r="D90" t="inlineStr">
        <is>
          <t>Ananya Joshi</t>
        </is>
      </c>
      <c r="E90" t="inlineStr">
        <is>
          <t>Retail Store</t>
        </is>
      </c>
      <c r="F90" t="inlineStr">
        <is>
          <t>Stationery</t>
        </is>
      </c>
      <c r="G90" t="inlineStr">
        <is>
          <t>A4 Paper Ream</t>
        </is>
      </c>
      <c r="H90" t="n">
        <v>16</v>
      </c>
      <c r="I90" s="3" t="n">
        <v>350</v>
      </c>
      <c r="J90" s="4" t="n">
        <v>0</v>
      </c>
      <c r="K90" s="3">
        <f>H90*I90</f>
        <v/>
      </c>
      <c r="L90" s="3">
        <f>H90*I90*J90</f>
        <v/>
      </c>
      <c r="M90" s="3">
        <f>H90*I90*(1-J90)</f>
        <v/>
      </c>
      <c r="N90" s="3">
        <f>ROUND(H90*I90*(1-J90),0)</f>
        <v/>
      </c>
      <c r="O90" s="3">
        <f>ROUNDUP(H90*I90*(1-J90),0)</f>
        <v/>
      </c>
      <c r="P90" s="3">
        <f>ROUNDDOWN(H90*I90*(1-J90),0)</f>
        <v/>
      </c>
    </row>
    <row r="91">
      <c r="A91" t="inlineStr">
        <is>
          <t>ORD-1090</t>
        </is>
      </c>
      <c r="B91" s="2" t="n">
        <v>45875</v>
      </c>
      <c r="C91" t="inlineStr">
        <is>
          <t>West</t>
        </is>
      </c>
      <c r="D91" t="inlineStr">
        <is>
          <t>Vikram Shah</t>
        </is>
      </c>
      <c r="E91" t="inlineStr">
        <is>
          <t>Retail Store</t>
        </is>
      </c>
      <c r="F91" t="inlineStr">
        <is>
          <t>Electronics</t>
        </is>
      </c>
      <c r="G91" t="inlineStr">
        <is>
          <t>Wireless Mouse</t>
        </is>
      </c>
      <c r="H91" t="n">
        <v>5</v>
      </c>
      <c r="I91" s="3" t="n">
        <v>1500</v>
      </c>
      <c r="J91" s="4" t="n">
        <v>0.15</v>
      </c>
      <c r="K91" s="3">
        <f>H91*I91</f>
        <v/>
      </c>
      <c r="L91" s="3">
        <f>H91*I91*J91</f>
        <v/>
      </c>
      <c r="M91" s="3">
        <f>H91*I91*(1-J91)</f>
        <v/>
      </c>
      <c r="N91" s="3">
        <f>ROUND(H91*I91*(1-J91),0)</f>
        <v/>
      </c>
      <c r="O91" s="3">
        <f>ROUNDUP(H91*I91*(1-J91),0)</f>
        <v/>
      </c>
      <c r="P91" s="3">
        <f>ROUNDDOWN(H91*I91*(1-J91),0)</f>
        <v/>
      </c>
    </row>
    <row r="92">
      <c r="A92" t="inlineStr">
        <is>
          <t>ORD-1091</t>
        </is>
      </c>
      <c r="B92" s="2" t="n">
        <v>45874</v>
      </c>
      <c r="C92" t="inlineStr">
        <is>
          <t>South</t>
        </is>
      </c>
      <c r="D92" t="inlineStr">
        <is>
          <t>Sneha Rao</t>
        </is>
      </c>
      <c r="E92" t="inlineStr">
        <is>
          <t>Retail Store</t>
        </is>
      </c>
      <c r="F92" t="inlineStr">
        <is>
          <t>Electronics</t>
        </is>
      </c>
      <c r="G92" t="inlineStr">
        <is>
          <t>Wireless Mouse</t>
        </is>
      </c>
      <c r="H92" t="n">
        <v>21</v>
      </c>
      <c r="I92" s="3" t="n">
        <v>1500</v>
      </c>
      <c r="J92" s="4" t="n">
        <v>0</v>
      </c>
      <c r="K92" s="3">
        <f>H92*I92</f>
        <v/>
      </c>
      <c r="L92" s="3">
        <f>H92*I92*J92</f>
        <v/>
      </c>
      <c r="M92" s="3">
        <f>H92*I92*(1-J92)</f>
        <v/>
      </c>
      <c r="N92" s="3">
        <f>ROUND(H92*I92*(1-J92),0)</f>
        <v/>
      </c>
      <c r="O92" s="3">
        <f>ROUNDUP(H92*I92*(1-J92),0)</f>
        <v/>
      </c>
      <c r="P92" s="3">
        <f>ROUNDDOWN(H92*I92*(1-J92),0)</f>
        <v/>
      </c>
    </row>
    <row r="93">
      <c r="A93" t="inlineStr">
        <is>
          <t>ORD-1092</t>
        </is>
      </c>
      <c r="B93" s="2" t="n">
        <v>45713</v>
      </c>
      <c r="C93" t="inlineStr">
        <is>
          <t>East</t>
        </is>
      </c>
      <c r="D93" t="inlineStr">
        <is>
          <t>Meera Sen</t>
        </is>
      </c>
      <c r="E93" t="inlineStr">
        <is>
          <t>Online</t>
        </is>
      </c>
      <c r="F93" t="inlineStr">
        <is>
          <t>Electronics</t>
        </is>
      </c>
      <c r="G93" t="inlineStr">
        <is>
          <t>Noise Cancel Headset</t>
        </is>
      </c>
      <c r="H93" t="n">
        <v>22</v>
      </c>
      <c r="I93" s="3" t="n">
        <v>8500</v>
      </c>
      <c r="J93" s="4" t="n">
        <v>0</v>
      </c>
      <c r="K93" s="3">
        <f>H93*I93</f>
        <v/>
      </c>
      <c r="L93" s="3">
        <f>H93*I93*J93</f>
        <v/>
      </c>
      <c r="M93" s="3">
        <f>H93*I93*(1-J93)</f>
        <v/>
      </c>
      <c r="N93" s="3">
        <f>ROUND(H93*I93*(1-J93),0)</f>
        <v/>
      </c>
      <c r="O93" s="3">
        <f>ROUNDUP(H93*I93*(1-J93),0)</f>
        <v/>
      </c>
      <c r="P93" s="3">
        <f>ROUNDDOWN(H93*I93*(1-J93),0)</f>
        <v/>
      </c>
    </row>
    <row r="94">
      <c r="A94" t="inlineStr">
        <is>
          <t>ORD-1093</t>
        </is>
      </c>
      <c r="B94" s="2" t="n">
        <v>45846</v>
      </c>
      <c r="C94" t="inlineStr">
        <is>
          <t>North</t>
        </is>
      </c>
      <c r="D94" t="inlineStr">
        <is>
          <t>Aarav Mehta</t>
        </is>
      </c>
      <c r="E94" t="inlineStr">
        <is>
          <t>Online</t>
        </is>
      </c>
      <c r="F94" t="inlineStr">
        <is>
          <t>Stationery</t>
        </is>
      </c>
      <c r="G94" t="inlineStr">
        <is>
          <t>Notebook Set</t>
        </is>
      </c>
      <c r="H94" t="n">
        <v>17</v>
      </c>
      <c r="I94" s="3" t="n">
        <v>600</v>
      </c>
      <c r="J94" s="4" t="n">
        <v>0.1</v>
      </c>
      <c r="K94" s="3">
        <f>H94*I94</f>
        <v/>
      </c>
      <c r="L94" s="3">
        <f>H94*I94*J94</f>
        <v/>
      </c>
      <c r="M94" s="3">
        <f>H94*I94*(1-J94)</f>
        <v/>
      </c>
      <c r="N94" s="3">
        <f>ROUND(H94*I94*(1-J94),0)</f>
        <v/>
      </c>
      <c r="O94" s="3">
        <f>ROUNDUP(H94*I94*(1-J94),0)</f>
        <v/>
      </c>
      <c r="P94" s="3">
        <f>ROUNDDOWN(H94*I94*(1-J94),0)</f>
        <v/>
      </c>
    </row>
    <row r="95">
      <c r="A95" t="inlineStr">
        <is>
          <t>ORD-1094</t>
        </is>
      </c>
      <c r="B95" s="2" t="n">
        <v>45784</v>
      </c>
      <c r="C95" t="inlineStr">
        <is>
          <t>West</t>
        </is>
      </c>
      <c r="D95" t="inlineStr">
        <is>
          <t>Vikram Shah</t>
        </is>
      </c>
      <c r="E95" t="inlineStr">
        <is>
          <t>Partner</t>
        </is>
      </c>
      <c r="F95" t="inlineStr">
        <is>
          <t>Electronics</t>
        </is>
      </c>
      <c r="G95" t="inlineStr">
        <is>
          <t>Wireless Mouse</t>
        </is>
      </c>
      <c r="H95" t="n">
        <v>15</v>
      </c>
      <c r="I95" s="3" t="n">
        <v>1500</v>
      </c>
      <c r="J95" s="4" t="n">
        <v>0</v>
      </c>
      <c r="K95" s="3">
        <f>H95*I95</f>
        <v/>
      </c>
      <c r="L95" s="3">
        <f>H95*I95*J95</f>
        <v/>
      </c>
      <c r="M95" s="3">
        <f>H95*I95*(1-J95)</f>
        <v/>
      </c>
      <c r="N95" s="3">
        <f>ROUND(H95*I95*(1-J95),0)</f>
        <v/>
      </c>
      <c r="O95" s="3">
        <f>ROUNDUP(H95*I95*(1-J95),0)</f>
        <v/>
      </c>
      <c r="P95" s="3">
        <f>ROUNDDOWN(H95*I95*(1-J95),0)</f>
        <v/>
      </c>
    </row>
    <row r="96">
      <c r="A96" t="inlineStr">
        <is>
          <t>ORD-1095</t>
        </is>
      </c>
      <c r="B96" s="2" t="n">
        <v>45689</v>
      </c>
      <c r="C96" t="inlineStr">
        <is>
          <t>West</t>
        </is>
      </c>
      <c r="D96" t="inlineStr">
        <is>
          <t>Ananya Joshi</t>
        </is>
      </c>
      <c r="E96" t="inlineStr">
        <is>
          <t>Online</t>
        </is>
      </c>
      <c r="F96" t="inlineStr">
        <is>
          <t>Electronics</t>
        </is>
      </c>
      <c r="G96" t="inlineStr">
        <is>
          <t>Wireless Mouse</t>
        </is>
      </c>
      <c r="H96" t="n">
        <v>7</v>
      </c>
      <c r="I96" s="3" t="n">
        <v>1500</v>
      </c>
      <c r="J96" s="4" t="n">
        <v>0</v>
      </c>
      <c r="K96" s="3">
        <f>H96*I96</f>
        <v/>
      </c>
      <c r="L96" s="3">
        <f>H96*I96*J96</f>
        <v/>
      </c>
      <c r="M96" s="3">
        <f>H96*I96*(1-J96)</f>
        <v/>
      </c>
      <c r="N96" s="3">
        <f>ROUND(H96*I96*(1-J96),0)</f>
        <v/>
      </c>
      <c r="O96" s="3">
        <f>ROUNDUP(H96*I96*(1-J96),0)</f>
        <v/>
      </c>
      <c r="P96" s="3">
        <f>ROUNDDOWN(H96*I96*(1-J96),0)</f>
        <v/>
      </c>
    </row>
    <row r="97">
      <c r="A97" t="inlineStr">
        <is>
          <t>ORD-1096</t>
        </is>
      </c>
      <c r="B97" s="2" t="n">
        <v>45878</v>
      </c>
      <c r="C97" t="inlineStr">
        <is>
          <t>West</t>
        </is>
      </c>
      <c r="D97" t="inlineStr">
        <is>
          <t>Ananya Joshi</t>
        </is>
      </c>
      <c r="E97" t="inlineStr">
        <is>
          <t>Partner</t>
        </is>
      </c>
      <c r="F97" t="inlineStr">
        <is>
          <t>Stationery</t>
        </is>
      </c>
      <c r="G97" t="inlineStr">
        <is>
          <t>Notebook Set</t>
        </is>
      </c>
      <c r="H97" t="n">
        <v>14</v>
      </c>
      <c r="I97" s="3" t="n">
        <v>600</v>
      </c>
      <c r="J97" s="4" t="n">
        <v>0.15</v>
      </c>
      <c r="K97" s="3">
        <f>H97*I97</f>
        <v/>
      </c>
      <c r="L97" s="3">
        <f>H97*I97*J97</f>
        <v/>
      </c>
      <c r="M97" s="3">
        <f>H97*I97*(1-J97)</f>
        <v/>
      </c>
      <c r="N97" s="3">
        <f>ROUND(H97*I97*(1-J97),0)</f>
        <v/>
      </c>
      <c r="O97" s="3">
        <f>ROUNDUP(H97*I97*(1-J97),0)</f>
        <v/>
      </c>
      <c r="P97" s="3">
        <f>ROUNDDOWN(H97*I97*(1-J97),0)</f>
        <v/>
      </c>
    </row>
    <row r="98">
      <c r="A98" t="inlineStr">
        <is>
          <t>ORD-1097</t>
        </is>
      </c>
      <c r="B98" s="2" t="n">
        <v>45743</v>
      </c>
      <c r="C98" t="inlineStr">
        <is>
          <t>East</t>
        </is>
      </c>
      <c r="D98" t="inlineStr">
        <is>
          <t>Meera Sen</t>
        </is>
      </c>
      <c r="E98" t="inlineStr">
        <is>
          <t>Online</t>
        </is>
      </c>
      <c r="F98" t="inlineStr">
        <is>
          <t>Stationery</t>
        </is>
      </c>
      <c r="G98" t="inlineStr">
        <is>
          <t>A4 Paper Ream</t>
        </is>
      </c>
      <c r="H98" t="n">
        <v>5</v>
      </c>
      <c r="I98" s="3" t="n">
        <v>350</v>
      </c>
      <c r="J98" s="4" t="n">
        <v>0</v>
      </c>
      <c r="K98" s="3">
        <f>H98*I98</f>
        <v/>
      </c>
      <c r="L98" s="3">
        <f>H98*I98*J98</f>
        <v/>
      </c>
      <c r="M98" s="3">
        <f>H98*I98*(1-J98)</f>
        <v/>
      </c>
      <c r="N98" s="3">
        <f>ROUND(H98*I98*(1-J98),0)</f>
        <v/>
      </c>
      <c r="O98" s="3">
        <f>ROUNDUP(H98*I98*(1-J98),0)</f>
        <v/>
      </c>
      <c r="P98" s="3">
        <f>ROUNDDOWN(H98*I98*(1-J98),0)</f>
        <v/>
      </c>
    </row>
    <row r="99">
      <c r="A99" t="inlineStr">
        <is>
          <t>ORD-1098</t>
        </is>
      </c>
      <c r="B99" s="2" t="n">
        <v>45809</v>
      </c>
      <c r="C99" t="inlineStr">
        <is>
          <t>East</t>
        </is>
      </c>
      <c r="D99" t="inlineStr">
        <is>
          <t>Meera Sen</t>
        </is>
      </c>
      <c r="E99" t="inlineStr">
        <is>
          <t>Online</t>
        </is>
      </c>
      <c r="F99" t="inlineStr">
        <is>
          <t>Stationery</t>
        </is>
      </c>
      <c r="G99" t="inlineStr">
        <is>
          <t>Notebook Set</t>
        </is>
      </c>
      <c r="H99" t="n">
        <v>19</v>
      </c>
      <c r="I99" s="3" t="n">
        <v>600</v>
      </c>
      <c r="J99" s="4" t="n">
        <v>0</v>
      </c>
      <c r="K99" s="3">
        <f>H99*I99</f>
        <v/>
      </c>
      <c r="L99" s="3">
        <f>H99*I99*J99</f>
        <v/>
      </c>
      <c r="M99" s="3">
        <f>H99*I99*(1-J99)</f>
        <v/>
      </c>
      <c r="N99" s="3">
        <f>ROUND(H99*I99*(1-J99),0)</f>
        <v/>
      </c>
      <c r="O99" s="3">
        <f>ROUNDUP(H99*I99*(1-J99),0)</f>
        <v/>
      </c>
      <c r="P99" s="3">
        <f>ROUNDDOWN(H99*I99*(1-J99),0)</f>
        <v/>
      </c>
    </row>
    <row r="100">
      <c r="A100" t="inlineStr">
        <is>
          <t>ORD-1099</t>
        </is>
      </c>
      <c r="B100" s="2" t="n">
        <v>45668</v>
      </c>
      <c r="C100" t="inlineStr">
        <is>
          <t>West</t>
        </is>
      </c>
      <c r="D100" t="inlineStr">
        <is>
          <t>Vikram Shah</t>
        </is>
      </c>
      <c r="E100" t="inlineStr">
        <is>
          <t>Retail Store</t>
        </is>
      </c>
      <c r="F100" t="inlineStr">
        <is>
          <t>Stationery</t>
        </is>
      </c>
      <c r="G100" t="inlineStr">
        <is>
          <t>Notebook Set</t>
        </is>
      </c>
      <c r="H100" t="n">
        <v>14</v>
      </c>
      <c r="I100" s="3" t="n">
        <v>600</v>
      </c>
      <c r="J100" s="4" t="n">
        <v>0</v>
      </c>
      <c r="K100" s="3">
        <f>H100*I100</f>
        <v/>
      </c>
      <c r="L100" s="3">
        <f>H100*I100*J100</f>
        <v/>
      </c>
      <c r="M100" s="3">
        <f>H100*I100*(1-J100)</f>
        <v/>
      </c>
      <c r="N100" s="3">
        <f>ROUND(H100*I100*(1-J100),0)</f>
        <v/>
      </c>
      <c r="O100" s="3">
        <f>ROUNDUP(H100*I100*(1-J100),0)</f>
        <v/>
      </c>
      <c r="P100" s="3">
        <f>ROUNDDOWN(H100*I100*(1-J100),0)</f>
        <v/>
      </c>
    </row>
    <row r="101">
      <c r="A101" t="inlineStr">
        <is>
          <t>ORD-1100</t>
        </is>
      </c>
      <c r="B101" s="2" t="n">
        <v>45697</v>
      </c>
      <c r="C101" t="inlineStr">
        <is>
          <t>South</t>
        </is>
      </c>
      <c r="D101" t="inlineStr">
        <is>
          <t>Rahul Iyer</t>
        </is>
      </c>
      <c r="E101" t="inlineStr">
        <is>
          <t>Partner</t>
        </is>
      </c>
      <c r="F101" t="inlineStr">
        <is>
          <t>Furniture</t>
        </is>
      </c>
      <c r="G101" t="inlineStr">
        <is>
          <t>Standing Desk</t>
        </is>
      </c>
      <c r="H101" t="n">
        <v>3</v>
      </c>
      <c r="I101" s="3" t="n">
        <v>24000</v>
      </c>
      <c r="J101" s="4" t="n">
        <v>0</v>
      </c>
      <c r="K101" s="3">
        <f>H101*I101</f>
        <v/>
      </c>
      <c r="L101" s="3">
        <f>H101*I101*J101</f>
        <v/>
      </c>
      <c r="M101" s="3">
        <f>H101*I101*(1-J101)</f>
        <v/>
      </c>
      <c r="N101" s="3">
        <f>ROUND(H101*I101*(1-J101),0)</f>
        <v/>
      </c>
      <c r="O101" s="3">
        <f>ROUNDUP(H101*I101*(1-J101),0)</f>
        <v/>
      </c>
      <c r="P101" s="3">
        <f>ROUNDDOWN(H101*I101*(1-J101),0)</f>
        <v/>
      </c>
    </row>
    <row r="102">
      <c r="A102" t="inlineStr">
        <is>
          <t>ORD-1101</t>
        </is>
      </c>
      <c r="B102" s="2" t="n">
        <v>45992</v>
      </c>
      <c r="C102" t="inlineStr">
        <is>
          <t>East</t>
        </is>
      </c>
      <c r="D102" t="inlineStr">
        <is>
          <t>Meera Sen</t>
        </is>
      </c>
      <c r="E102" t="inlineStr">
        <is>
          <t>Online</t>
        </is>
      </c>
      <c r="F102" t="inlineStr">
        <is>
          <t>Stationery</t>
        </is>
      </c>
      <c r="G102" t="inlineStr">
        <is>
          <t>Gel Pen Pack</t>
        </is>
      </c>
      <c r="H102" t="n">
        <v>16</v>
      </c>
      <c r="I102" s="3" t="n">
        <v>250</v>
      </c>
      <c r="J102" s="4" t="n">
        <v>0</v>
      </c>
      <c r="K102" s="3">
        <f>H102*I102</f>
        <v/>
      </c>
      <c r="L102" s="3">
        <f>H102*I102*J102</f>
        <v/>
      </c>
      <c r="M102" s="3">
        <f>H102*I102*(1-J102)</f>
        <v/>
      </c>
      <c r="N102" s="3">
        <f>ROUND(H102*I102*(1-J102),0)</f>
        <v/>
      </c>
      <c r="O102" s="3">
        <f>ROUNDUP(H102*I102*(1-J102),0)</f>
        <v/>
      </c>
      <c r="P102" s="3">
        <f>ROUNDDOWN(H102*I102*(1-J102),0)</f>
        <v/>
      </c>
    </row>
    <row r="103">
      <c r="A103" t="inlineStr">
        <is>
          <t>ORD-1102</t>
        </is>
      </c>
      <c r="B103" s="2" t="n">
        <v>45897</v>
      </c>
      <c r="C103" t="inlineStr">
        <is>
          <t>West</t>
        </is>
      </c>
      <c r="D103" t="inlineStr">
        <is>
          <t>Ananya Joshi</t>
        </is>
      </c>
      <c r="E103" t="inlineStr">
        <is>
          <t>Partner</t>
        </is>
      </c>
      <c r="F103" t="inlineStr">
        <is>
          <t>Furniture</t>
        </is>
      </c>
      <c r="G103" t="inlineStr">
        <is>
          <t>Standing Desk</t>
        </is>
      </c>
      <c r="H103" t="n">
        <v>4</v>
      </c>
      <c r="I103" s="3" t="n">
        <v>24000</v>
      </c>
      <c r="J103" s="4" t="n">
        <v>0.05</v>
      </c>
      <c r="K103" s="3">
        <f>H103*I103</f>
        <v/>
      </c>
      <c r="L103" s="3">
        <f>H103*I103*J103</f>
        <v/>
      </c>
      <c r="M103" s="3">
        <f>H103*I103*(1-J103)</f>
        <v/>
      </c>
      <c r="N103" s="3">
        <f>ROUND(H103*I103*(1-J103),0)</f>
        <v/>
      </c>
      <c r="O103" s="3">
        <f>ROUNDUP(H103*I103*(1-J103),0)</f>
        <v/>
      </c>
      <c r="P103" s="3">
        <f>ROUNDDOWN(H103*I103*(1-J103),0)</f>
        <v/>
      </c>
    </row>
    <row r="104">
      <c r="A104" t="inlineStr">
        <is>
          <t>ORD-1103</t>
        </is>
      </c>
      <c r="B104" s="2" t="n">
        <v>45984</v>
      </c>
      <c r="C104" t="inlineStr">
        <is>
          <t>West</t>
        </is>
      </c>
      <c r="D104" t="inlineStr">
        <is>
          <t>Vikram Shah</t>
        </is>
      </c>
      <c r="E104" t="inlineStr">
        <is>
          <t>Online</t>
        </is>
      </c>
      <c r="F104" t="inlineStr">
        <is>
          <t>Stationery</t>
        </is>
      </c>
      <c r="G104" t="inlineStr">
        <is>
          <t>Gel Pen Pack</t>
        </is>
      </c>
      <c r="H104" t="n">
        <v>24</v>
      </c>
      <c r="I104" s="3" t="n">
        <v>250</v>
      </c>
      <c r="J104" s="4" t="n">
        <v>0</v>
      </c>
      <c r="K104" s="3">
        <f>H104*I104</f>
        <v/>
      </c>
      <c r="L104" s="3">
        <f>H104*I104*J104</f>
        <v/>
      </c>
      <c r="M104" s="3">
        <f>H104*I104*(1-J104)</f>
        <v/>
      </c>
      <c r="N104" s="3">
        <f>ROUND(H104*I104*(1-J104),0)</f>
        <v/>
      </c>
      <c r="O104" s="3">
        <f>ROUNDUP(H104*I104*(1-J104),0)</f>
        <v/>
      </c>
      <c r="P104" s="3">
        <f>ROUNDDOWN(H104*I104*(1-J104),0)</f>
        <v/>
      </c>
    </row>
    <row r="105">
      <c r="A105" t="inlineStr">
        <is>
          <t>ORD-1104</t>
        </is>
      </c>
      <c r="B105" s="2" t="n">
        <v>45677</v>
      </c>
      <c r="C105" t="inlineStr">
        <is>
          <t>North</t>
        </is>
      </c>
      <c r="D105" t="inlineStr">
        <is>
          <t>Aarav Mehta</t>
        </is>
      </c>
      <c r="E105" t="inlineStr">
        <is>
          <t>Online</t>
        </is>
      </c>
      <c r="F105" t="inlineStr">
        <is>
          <t>Electronics</t>
        </is>
      </c>
      <c r="G105" t="inlineStr">
        <is>
          <t>Laptop Pro 14</t>
        </is>
      </c>
      <c r="H105" t="n">
        <v>15</v>
      </c>
      <c r="I105" s="3" t="n">
        <v>95000</v>
      </c>
      <c r="J105" s="4" t="n">
        <v>0.1</v>
      </c>
      <c r="K105" s="3">
        <f>H105*I105</f>
        <v/>
      </c>
      <c r="L105" s="3">
        <f>H105*I105*J105</f>
        <v/>
      </c>
      <c r="M105" s="3">
        <f>H105*I105*(1-J105)</f>
        <v/>
      </c>
      <c r="N105" s="3">
        <f>ROUND(H105*I105*(1-J105),0)</f>
        <v/>
      </c>
      <c r="O105" s="3">
        <f>ROUNDUP(H105*I105*(1-J105),0)</f>
        <v/>
      </c>
      <c r="P105" s="3">
        <f>ROUNDDOWN(H105*I105*(1-J105),0)</f>
        <v/>
      </c>
    </row>
    <row r="106">
      <c r="A106" t="inlineStr">
        <is>
          <t>ORD-1105</t>
        </is>
      </c>
      <c r="B106" s="2" t="n">
        <v>45998</v>
      </c>
      <c r="C106" t="inlineStr">
        <is>
          <t>North</t>
        </is>
      </c>
      <c r="D106" t="inlineStr">
        <is>
          <t>Aarav Mehta</t>
        </is>
      </c>
      <c r="E106" t="inlineStr">
        <is>
          <t>Online</t>
        </is>
      </c>
      <c r="F106" t="inlineStr">
        <is>
          <t>Electronics</t>
        </is>
      </c>
      <c r="G106" t="inlineStr">
        <is>
          <t>Noise Cancel Headset</t>
        </is>
      </c>
      <c r="H106" t="n">
        <v>6</v>
      </c>
      <c r="I106" s="3" t="n">
        <v>8500</v>
      </c>
      <c r="J106" s="4" t="n">
        <v>0.15</v>
      </c>
      <c r="K106" s="3">
        <f>H106*I106</f>
        <v/>
      </c>
      <c r="L106" s="3">
        <f>H106*I106*J106</f>
        <v/>
      </c>
      <c r="M106" s="3">
        <f>H106*I106*(1-J106)</f>
        <v/>
      </c>
      <c r="N106" s="3">
        <f>ROUND(H106*I106*(1-J106),0)</f>
        <v/>
      </c>
      <c r="O106" s="3">
        <f>ROUNDUP(H106*I106*(1-J106),0)</f>
        <v/>
      </c>
      <c r="P106" s="3">
        <f>ROUNDDOWN(H106*I106*(1-J106),0)</f>
        <v/>
      </c>
    </row>
    <row r="107">
      <c r="A107" t="inlineStr">
        <is>
          <t>ORD-1106</t>
        </is>
      </c>
      <c r="B107" s="2" t="n">
        <v>45825</v>
      </c>
      <c r="C107" t="inlineStr">
        <is>
          <t>East</t>
        </is>
      </c>
      <c r="D107" t="inlineStr">
        <is>
          <t>Kabir Das</t>
        </is>
      </c>
      <c r="E107" t="inlineStr">
        <is>
          <t>Retail Store</t>
        </is>
      </c>
      <c r="F107" t="inlineStr">
        <is>
          <t>Furniture</t>
        </is>
      </c>
      <c r="G107" t="inlineStr">
        <is>
          <t>Standing Desk</t>
        </is>
      </c>
      <c r="H107" t="n">
        <v>15</v>
      </c>
      <c r="I107" s="3" t="n">
        <v>24000</v>
      </c>
      <c r="J107" s="4" t="n">
        <v>0</v>
      </c>
      <c r="K107" s="3">
        <f>H107*I107</f>
        <v/>
      </c>
      <c r="L107" s="3">
        <f>H107*I107*J107</f>
        <v/>
      </c>
      <c r="M107" s="3">
        <f>H107*I107*(1-J107)</f>
        <v/>
      </c>
      <c r="N107" s="3">
        <f>ROUND(H107*I107*(1-J107),0)</f>
        <v/>
      </c>
      <c r="O107" s="3">
        <f>ROUNDUP(H107*I107*(1-J107),0)</f>
        <v/>
      </c>
      <c r="P107" s="3">
        <f>ROUNDDOWN(H107*I107*(1-J107),0)</f>
        <v/>
      </c>
    </row>
    <row r="108">
      <c r="A108" t="inlineStr">
        <is>
          <t>ORD-1107</t>
        </is>
      </c>
      <c r="B108" s="2" t="n">
        <v>45892</v>
      </c>
      <c r="C108" t="inlineStr">
        <is>
          <t>East</t>
        </is>
      </c>
      <c r="D108" t="inlineStr">
        <is>
          <t>Meera Sen</t>
        </is>
      </c>
      <c r="E108" t="inlineStr">
        <is>
          <t>Retail Store</t>
        </is>
      </c>
      <c r="F108" t="inlineStr">
        <is>
          <t>Stationery</t>
        </is>
      </c>
      <c r="G108" t="inlineStr">
        <is>
          <t>Notebook Set</t>
        </is>
      </c>
      <c r="H108" t="n">
        <v>17</v>
      </c>
      <c r="I108" s="3" t="n">
        <v>600</v>
      </c>
      <c r="J108" s="4" t="n">
        <v>0.15</v>
      </c>
      <c r="K108" s="3">
        <f>H108*I108</f>
        <v/>
      </c>
      <c r="L108" s="3">
        <f>H108*I108*J108</f>
        <v/>
      </c>
      <c r="M108" s="3">
        <f>H108*I108*(1-J108)</f>
        <v/>
      </c>
      <c r="N108" s="3">
        <f>ROUND(H108*I108*(1-J108),0)</f>
        <v/>
      </c>
      <c r="O108" s="3">
        <f>ROUNDUP(H108*I108*(1-J108),0)</f>
        <v/>
      </c>
      <c r="P108" s="3">
        <f>ROUNDDOWN(H108*I108*(1-J108),0)</f>
        <v/>
      </c>
    </row>
    <row r="109">
      <c r="A109" t="inlineStr">
        <is>
          <t>ORD-1108</t>
        </is>
      </c>
      <c r="B109" s="2" t="n">
        <v>45993</v>
      </c>
      <c r="C109" t="inlineStr">
        <is>
          <t>West</t>
        </is>
      </c>
      <c r="D109" t="inlineStr">
        <is>
          <t>Ananya Joshi</t>
        </is>
      </c>
      <c r="E109" t="inlineStr">
        <is>
          <t>Partner</t>
        </is>
      </c>
      <c r="F109" t="inlineStr">
        <is>
          <t>Stationery</t>
        </is>
      </c>
      <c r="G109" t="inlineStr">
        <is>
          <t>Gel Pen Pack</t>
        </is>
      </c>
      <c r="H109" t="n">
        <v>14</v>
      </c>
      <c r="I109" s="3" t="n">
        <v>250</v>
      </c>
      <c r="J109" s="4" t="n">
        <v>0.05</v>
      </c>
      <c r="K109" s="3">
        <f>H109*I109</f>
        <v/>
      </c>
      <c r="L109" s="3">
        <f>H109*I109*J109</f>
        <v/>
      </c>
      <c r="M109" s="3">
        <f>H109*I109*(1-J109)</f>
        <v/>
      </c>
      <c r="N109" s="3">
        <f>ROUND(H109*I109*(1-J109),0)</f>
        <v/>
      </c>
      <c r="O109" s="3">
        <f>ROUNDUP(H109*I109*(1-J109),0)</f>
        <v/>
      </c>
      <c r="P109" s="3">
        <f>ROUNDDOWN(H109*I109*(1-J109),0)</f>
        <v/>
      </c>
    </row>
    <row r="110">
      <c r="A110" t="inlineStr">
        <is>
          <t>ORD-1109</t>
        </is>
      </c>
      <c r="B110" s="2" t="n">
        <v>45658</v>
      </c>
      <c r="C110" t="inlineStr">
        <is>
          <t>West</t>
        </is>
      </c>
      <c r="D110" t="inlineStr">
        <is>
          <t>Ananya Joshi</t>
        </is>
      </c>
      <c r="E110" t="inlineStr">
        <is>
          <t>Online</t>
        </is>
      </c>
      <c r="F110" t="inlineStr">
        <is>
          <t>Electronics</t>
        </is>
      </c>
      <c r="G110" t="inlineStr">
        <is>
          <t>Noise Cancel Headset</t>
        </is>
      </c>
      <c r="H110" t="n">
        <v>9</v>
      </c>
      <c r="I110" s="3" t="n">
        <v>8500</v>
      </c>
      <c r="J110" s="4" t="n">
        <v>0</v>
      </c>
      <c r="K110" s="3">
        <f>H110*I110</f>
        <v/>
      </c>
      <c r="L110" s="3">
        <f>H110*I110*J110</f>
        <v/>
      </c>
      <c r="M110" s="3">
        <f>H110*I110*(1-J110)</f>
        <v/>
      </c>
      <c r="N110" s="3">
        <f>ROUND(H110*I110*(1-J110),0)</f>
        <v/>
      </c>
      <c r="O110" s="3">
        <f>ROUNDUP(H110*I110*(1-J110),0)</f>
        <v/>
      </c>
      <c r="P110" s="3">
        <f>ROUNDDOWN(H110*I110*(1-J110),0)</f>
        <v/>
      </c>
    </row>
    <row r="111">
      <c r="A111" t="inlineStr">
        <is>
          <t>ORD-1110</t>
        </is>
      </c>
      <c r="B111" s="2" t="n">
        <v>45848</v>
      </c>
      <c r="C111" t="inlineStr">
        <is>
          <t>West</t>
        </is>
      </c>
      <c r="D111" t="inlineStr">
        <is>
          <t>Ananya Joshi</t>
        </is>
      </c>
      <c r="E111" t="inlineStr">
        <is>
          <t>Partner</t>
        </is>
      </c>
      <c r="F111" t="inlineStr">
        <is>
          <t>Furniture</t>
        </is>
      </c>
      <c r="G111" t="inlineStr">
        <is>
          <t>Filing Cabinet</t>
        </is>
      </c>
      <c r="H111" t="n">
        <v>11</v>
      </c>
      <c r="I111" s="3" t="n">
        <v>7000</v>
      </c>
      <c r="J111" s="4" t="n">
        <v>0.15</v>
      </c>
      <c r="K111" s="3">
        <f>H111*I111</f>
        <v/>
      </c>
      <c r="L111" s="3">
        <f>H111*I111*J111</f>
        <v/>
      </c>
      <c r="M111" s="3">
        <f>H111*I111*(1-J111)</f>
        <v/>
      </c>
      <c r="N111" s="3">
        <f>ROUND(H111*I111*(1-J111),0)</f>
        <v/>
      </c>
      <c r="O111" s="3">
        <f>ROUNDUP(H111*I111*(1-J111),0)</f>
        <v/>
      </c>
      <c r="P111" s="3">
        <f>ROUNDDOWN(H111*I111*(1-J111),0)</f>
        <v/>
      </c>
    </row>
    <row r="112">
      <c r="A112" t="inlineStr">
        <is>
          <t>ORD-1111</t>
        </is>
      </c>
      <c r="B112" s="2" t="n">
        <v>45843</v>
      </c>
      <c r="C112" t="inlineStr">
        <is>
          <t>North</t>
        </is>
      </c>
      <c r="D112" t="inlineStr">
        <is>
          <t>Priya Nair</t>
        </is>
      </c>
      <c r="E112" t="inlineStr">
        <is>
          <t>Retail Store</t>
        </is>
      </c>
      <c r="F112" t="inlineStr">
        <is>
          <t>Electronics</t>
        </is>
      </c>
      <c r="G112" t="inlineStr">
        <is>
          <t>Wireless Mouse</t>
        </is>
      </c>
      <c r="H112" t="n">
        <v>9</v>
      </c>
      <c r="I112" s="3" t="n">
        <v>1500</v>
      </c>
      <c r="J112" s="4" t="n">
        <v>0.05</v>
      </c>
      <c r="K112" s="3">
        <f>H112*I112</f>
        <v/>
      </c>
      <c r="L112" s="3">
        <f>H112*I112*J112</f>
        <v/>
      </c>
      <c r="M112" s="3">
        <f>H112*I112*(1-J112)</f>
        <v/>
      </c>
      <c r="N112" s="3">
        <f>ROUND(H112*I112*(1-J112),0)</f>
        <v/>
      </c>
      <c r="O112" s="3">
        <f>ROUNDUP(H112*I112*(1-J112),0)</f>
        <v/>
      </c>
      <c r="P112" s="3">
        <f>ROUNDDOWN(H112*I112*(1-J112),0)</f>
        <v/>
      </c>
    </row>
    <row r="113">
      <c r="A113" t="inlineStr">
        <is>
          <t>ORD-1112</t>
        </is>
      </c>
      <c r="B113" s="2" t="n">
        <v>45676</v>
      </c>
      <c r="C113" t="inlineStr">
        <is>
          <t>West</t>
        </is>
      </c>
      <c r="D113" t="inlineStr">
        <is>
          <t>Vikram Shah</t>
        </is>
      </c>
      <c r="E113" t="inlineStr">
        <is>
          <t>Online</t>
        </is>
      </c>
      <c r="F113" t="inlineStr">
        <is>
          <t>Furniture</t>
        </is>
      </c>
      <c r="G113" t="inlineStr">
        <is>
          <t>Filing Cabinet</t>
        </is>
      </c>
      <c r="H113" t="n">
        <v>16</v>
      </c>
      <c r="I113" s="3" t="n">
        <v>7000</v>
      </c>
      <c r="J113" s="4" t="n">
        <v>0.05</v>
      </c>
      <c r="K113" s="3">
        <f>H113*I113</f>
        <v/>
      </c>
      <c r="L113" s="3">
        <f>H113*I113*J113</f>
        <v/>
      </c>
      <c r="M113" s="3">
        <f>H113*I113*(1-J113)</f>
        <v/>
      </c>
      <c r="N113" s="3">
        <f>ROUND(H113*I113*(1-J113),0)</f>
        <v/>
      </c>
      <c r="O113" s="3">
        <f>ROUNDUP(H113*I113*(1-J113),0)</f>
        <v/>
      </c>
      <c r="P113" s="3">
        <f>ROUNDDOWN(H113*I113*(1-J113),0)</f>
        <v/>
      </c>
    </row>
    <row r="114">
      <c r="A114" t="inlineStr">
        <is>
          <t>ORD-1113</t>
        </is>
      </c>
      <c r="B114" s="2" t="n">
        <v>45710</v>
      </c>
      <c r="C114" t="inlineStr">
        <is>
          <t>East</t>
        </is>
      </c>
      <c r="D114" t="inlineStr">
        <is>
          <t>Meera Sen</t>
        </is>
      </c>
      <c r="E114" t="inlineStr">
        <is>
          <t>Retail Store</t>
        </is>
      </c>
      <c r="F114" t="inlineStr">
        <is>
          <t>Electronics</t>
        </is>
      </c>
      <c r="G114" t="inlineStr">
        <is>
          <t>Wireless Mouse</t>
        </is>
      </c>
      <c r="H114" t="n">
        <v>22</v>
      </c>
      <c r="I114" s="3" t="n">
        <v>1500</v>
      </c>
      <c r="J114" s="4" t="n">
        <v>0</v>
      </c>
      <c r="K114" s="3">
        <f>H114*I114</f>
        <v/>
      </c>
      <c r="L114" s="3">
        <f>H114*I114*J114</f>
        <v/>
      </c>
      <c r="M114" s="3">
        <f>H114*I114*(1-J114)</f>
        <v/>
      </c>
      <c r="N114" s="3">
        <f>ROUND(H114*I114*(1-J114),0)</f>
        <v/>
      </c>
      <c r="O114" s="3">
        <f>ROUNDUP(H114*I114*(1-J114),0)</f>
        <v/>
      </c>
      <c r="P114" s="3">
        <f>ROUNDDOWN(H114*I114*(1-J114),0)</f>
        <v/>
      </c>
    </row>
    <row r="115">
      <c r="A115" t="inlineStr">
        <is>
          <t>ORD-1114</t>
        </is>
      </c>
      <c r="B115" s="2" t="n">
        <v>45934</v>
      </c>
      <c r="C115" t="inlineStr">
        <is>
          <t>East</t>
        </is>
      </c>
      <c r="D115" t="inlineStr">
        <is>
          <t>Meera Sen</t>
        </is>
      </c>
      <c r="E115" t="inlineStr">
        <is>
          <t>Online</t>
        </is>
      </c>
      <c r="F115" t="inlineStr">
        <is>
          <t>Furniture</t>
        </is>
      </c>
      <c r="G115" t="inlineStr">
        <is>
          <t>Standing Desk</t>
        </is>
      </c>
      <c r="H115" t="n">
        <v>7</v>
      </c>
      <c r="I115" s="3" t="n">
        <v>24000</v>
      </c>
      <c r="J115" s="4" t="n">
        <v>0</v>
      </c>
      <c r="K115" s="3">
        <f>H115*I115</f>
        <v/>
      </c>
      <c r="L115" s="3">
        <f>H115*I115*J115</f>
        <v/>
      </c>
      <c r="M115" s="3">
        <f>H115*I115*(1-J115)</f>
        <v/>
      </c>
      <c r="N115" s="3">
        <f>ROUND(H115*I115*(1-J115),0)</f>
        <v/>
      </c>
      <c r="O115" s="3">
        <f>ROUNDUP(H115*I115*(1-J115),0)</f>
        <v/>
      </c>
      <c r="P115" s="3">
        <f>ROUNDDOWN(H115*I115*(1-J115),0)</f>
        <v/>
      </c>
    </row>
    <row r="116">
      <c r="A116" t="inlineStr">
        <is>
          <t>ORD-1115</t>
        </is>
      </c>
      <c r="B116" s="2" t="n">
        <v>45949</v>
      </c>
      <c r="C116" t="inlineStr">
        <is>
          <t>North</t>
        </is>
      </c>
      <c r="D116" t="inlineStr">
        <is>
          <t>Aarav Mehta</t>
        </is>
      </c>
      <c r="E116" t="inlineStr">
        <is>
          <t>Retail Store</t>
        </is>
      </c>
      <c r="F116" t="inlineStr">
        <is>
          <t>Furniture</t>
        </is>
      </c>
      <c r="G116" t="inlineStr">
        <is>
          <t>Filing Cabinet</t>
        </is>
      </c>
      <c r="H116" t="n">
        <v>4</v>
      </c>
      <c r="I116" s="3" t="n">
        <v>7000</v>
      </c>
      <c r="J116" s="4" t="n">
        <v>0</v>
      </c>
      <c r="K116" s="3">
        <f>H116*I116</f>
        <v/>
      </c>
      <c r="L116" s="3">
        <f>H116*I116*J116</f>
        <v/>
      </c>
      <c r="M116" s="3">
        <f>H116*I116*(1-J116)</f>
        <v/>
      </c>
      <c r="N116" s="3">
        <f>ROUND(H116*I116*(1-J116),0)</f>
        <v/>
      </c>
      <c r="O116" s="3">
        <f>ROUNDUP(H116*I116*(1-J116),0)</f>
        <v/>
      </c>
      <c r="P116" s="3">
        <f>ROUNDDOWN(H116*I116*(1-J116),0)</f>
        <v/>
      </c>
    </row>
    <row r="117">
      <c r="A117" t="inlineStr">
        <is>
          <t>ORD-1116</t>
        </is>
      </c>
      <c r="B117" s="2" t="n">
        <v>45991</v>
      </c>
      <c r="C117" t="inlineStr">
        <is>
          <t>West</t>
        </is>
      </c>
      <c r="D117" t="inlineStr">
        <is>
          <t>Ananya Joshi</t>
        </is>
      </c>
      <c r="E117" t="inlineStr">
        <is>
          <t>Online</t>
        </is>
      </c>
      <c r="F117" t="inlineStr">
        <is>
          <t>Furniture</t>
        </is>
      </c>
      <c r="G117" t="inlineStr">
        <is>
          <t>Filing Cabinet</t>
        </is>
      </c>
      <c r="H117" t="n">
        <v>16</v>
      </c>
      <c r="I117" s="3" t="n">
        <v>7000</v>
      </c>
      <c r="J117" s="4" t="n">
        <v>0.15</v>
      </c>
      <c r="K117" s="3">
        <f>H117*I117</f>
        <v/>
      </c>
      <c r="L117" s="3">
        <f>H117*I117*J117</f>
        <v/>
      </c>
      <c r="M117" s="3">
        <f>H117*I117*(1-J117)</f>
        <v/>
      </c>
      <c r="N117" s="3">
        <f>ROUND(H117*I117*(1-J117),0)</f>
        <v/>
      </c>
      <c r="O117" s="3">
        <f>ROUNDUP(H117*I117*(1-J117),0)</f>
        <v/>
      </c>
      <c r="P117" s="3">
        <f>ROUNDDOWN(H117*I117*(1-J117),0)</f>
        <v/>
      </c>
    </row>
    <row r="118">
      <c r="A118" t="inlineStr">
        <is>
          <t>ORD-1117</t>
        </is>
      </c>
      <c r="B118" s="2" t="n">
        <v>45961</v>
      </c>
      <c r="C118" t="inlineStr">
        <is>
          <t>North</t>
        </is>
      </c>
      <c r="D118" t="inlineStr">
        <is>
          <t>Priya Nair</t>
        </is>
      </c>
      <c r="E118" t="inlineStr">
        <is>
          <t>Retail Store</t>
        </is>
      </c>
      <c r="F118" t="inlineStr">
        <is>
          <t>Furniture</t>
        </is>
      </c>
      <c r="G118" t="inlineStr">
        <is>
          <t>Filing Cabinet</t>
        </is>
      </c>
      <c r="H118" t="n">
        <v>6</v>
      </c>
      <c r="I118" s="3" t="n">
        <v>7000</v>
      </c>
      <c r="J118" s="4" t="n">
        <v>0</v>
      </c>
      <c r="K118" s="3">
        <f>H118*I118</f>
        <v/>
      </c>
      <c r="L118" s="3">
        <f>H118*I118*J118</f>
        <v/>
      </c>
      <c r="M118" s="3">
        <f>H118*I118*(1-J118)</f>
        <v/>
      </c>
      <c r="N118" s="3">
        <f>ROUND(H118*I118*(1-J118),0)</f>
        <v/>
      </c>
      <c r="O118" s="3">
        <f>ROUNDUP(H118*I118*(1-J118),0)</f>
        <v/>
      </c>
      <c r="P118" s="3">
        <f>ROUNDDOWN(H118*I118*(1-J118),0)</f>
        <v/>
      </c>
    </row>
    <row r="119">
      <c r="A119" t="inlineStr">
        <is>
          <t>ORD-1118</t>
        </is>
      </c>
      <c r="B119" s="2" t="n">
        <v>45957</v>
      </c>
      <c r="C119" t="inlineStr">
        <is>
          <t>North</t>
        </is>
      </c>
      <c r="D119" t="inlineStr">
        <is>
          <t>Aarav Mehta</t>
        </is>
      </c>
      <c r="E119" t="inlineStr">
        <is>
          <t>Partner</t>
        </is>
      </c>
      <c r="F119" t="inlineStr">
        <is>
          <t>Electronics</t>
        </is>
      </c>
      <c r="G119" t="inlineStr">
        <is>
          <t>Noise Cancel Headset</t>
        </is>
      </c>
      <c r="H119" t="n">
        <v>12</v>
      </c>
      <c r="I119" s="3" t="n">
        <v>8500</v>
      </c>
      <c r="J119" s="4" t="n">
        <v>0</v>
      </c>
      <c r="K119" s="3">
        <f>H119*I119</f>
        <v/>
      </c>
      <c r="L119" s="3">
        <f>H119*I119*J119</f>
        <v/>
      </c>
      <c r="M119" s="3">
        <f>H119*I119*(1-J119)</f>
        <v/>
      </c>
      <c r="N119" s="3">
        <f>ROUND(H119*I119*(1-J119),0)</f>
        <v/>
      </c>
      <c r="O119" s="3">
        <f>ROUNDUP(H119*I119*(1-J119),0)</f>
        <v/>
      </c>
      <c r="P119" s="3">
        <f>ROUNDDOWN(H119*I119*(1-J119),0)</f>
        <v/>
      </c>
    </row>
    <row r="120">
      <c r="A120" t="inlineStr">
        <is>
          <t>ORD-1119</t>
        </is>
      </c>
      <c r="B120" s="2" t="n">
        <v>45951</v>
      </c>
      <c r="C120" t="inlineStr">
        <is>
          <t>North</t>
        </is>
      </c>
      <c r="D120" t="inlineStr">
        <is>
          <t>Aarav Mehta</t>
        </is>
      </c>
      <c r="E120" t="inlineStr">
        <is>
          <t>Retail Store</t>
        </is>
      </c>
      <c r="F120" t="inlineStr">
        <is>
          <t>Furniture</t>
        </is>
      </c>
      <c r="G120" t="inlineStr">
        <is>
          <t>Standing Desk</t>
        </is>
      </c>
      <c r="H120" t="n">
        <v>11</v>
      </c>
      <c r="I120" s="3" t="n">
        <v>24000</v>
      </c>
      <c r="J120" s="4" t="n">
        <v>0</v>
      </c>
      <c r="K120" s="3">
        <f>H120*I120</f>
        <v/>
      </c>
      <c r="L120" s="3">
        <f>H120*I120*J120</f>
        <v/>
      </c>
      <c r="M120" s="3">
        <f>H120*I120*(1-J120)</f>
        <v/>
      </c>
      <c r="N120" s="3">
        <f>ROUND(H120*I120*(1-J120),0)</f>
        <v/>
      </c>
      <c r="O120" s="3">
        <f>ROUNDUP(H120*I120*(1-J120),0)</f>
        <v/>
      </c>
      <c r="P120" s="3">
        <f>ROUNDDOWN(H120*I120*(1-J120),0)</f>
        <v/>
      </c>
    </row>
    <row r="121">
      <c r="A121" t="inlineStr">
        <is>
          <t>ORD-1120</t>
        </is>
      </c>
      <c r="B121" s="2" t="n">
        <v>45878</v>
      </c>
      <c r="C121" t="inlineStr">
        <is>
          <t>South</t>
        </is>
      </c>
      <c r="D121" t="inlineStr">
        <is>
          <t>Sneha Rao</t>
        </is>
      </c>
      <c r="E121" t="inlineStr">
        <is>
          <t>Retail Store</t>
        </is>
      </c>
      <c r="F121" t="inlineStr">
        <is>
          <t>Stationery</t>
        </is>
      </c>
      <c r="G121" t="inlineStr">
        <is>
          <t>Gel Pen Pack</t>
        </is>
      </c>
      <c r="H121" t="n">
        <v>2</v>
      </c>
      <c r="I121" s="3" t="n">
        <v>250</v>
      </c>
      <c r="J121" s="4" t="n">
        <v>0</v>
      </c>
      <c r="K121" s="3">
        <f>H121*I121</f>
        <v/>
      </c>
      <c r="L121" s="3">
        <f>H121*I121*J121</f>
        <v/>
      </c>
      <c r="M121" s="3">
        <f>H121*I121*(1-J121)</f>
        <v/>
      </c>
      <c r="N121" s="3">
        <f>ROUND(H121*I121*(1-J121),0)</f>
        <v/>
      </c>
      <c r="O121" s="3">
        <f>ROUNDUP(H121*I121*(1-J121),0)</f>
        <v/>
      </c>
      <c r="P121" s="3">
        <f>ROUNDDOWN(H121*I121*(1-J121),0)</f>
        <v/>
      </c>
    </row>
  </sheetData>
  <autoFilter ref="A1:P121"/>
  <dataValidations count="3">
    <dataValidation sqref="H2:H121" showDropDown="0" showInputMessage="0" showErrorMessage="0" allowBlank="0" type="whole" operator="between">
      <formula1>1</formula1>
      <formula2>25</formula2>
    </dataValidation>
    <dataValidation sqref="E2:E121" showDropDown="0" showInputMessage="0" showErrorMessage="0" allowBlank="0" type="list">
      <formula1>"Online,Retail Store,Partner"</formula1>
    </dataValidation>
    <dataValidation sqref="J2:J121" showDropDown="0" showInputMessage="0" showErrorMessage="0" allowBlank="0" type="list">
      <formula1>"0,0.05,0.1,0.15"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UnitPrice</t>
        </is>
      </c>
      <c r="D1" s="1" t="inlineStr">
        <is>
          <t>UnitCost</t>
        </is>
      </c>
    </row>
    <row r="2">
      <c r="A2" t="inlineStr">
        <is>
          <t>Laptop Pro 14</t>
        </is>
      </c>
      <c r="B2" t="inlineStr">
        <is>
          <t>Electronics</t>
        </is>
      </c>
      <c r="C2" s="3" t="n">
        <v>95000</v>
      </c>
      <c r="D2" s="3" t="n">
        <v>65726</v>
      </c>
    </row>
    <row r="3">
      <c r="A3" t="inlineStr">
        <is>
          <t>Wireless Mouse</t>
        </is>
      </c>
      <c r="B3" t="inlineStr">
        <is>
          <t>Electronics</t>
        </is>
      </c>
      <c r="C3" s="3" t="n">
        <v>1500</v>
      </c>
      <c r="D3" s="3" t="n">
        <v>954</v>
      </c>
    </row>
    <row r="4">
      <c r="A4" t="inlineStr">
        <is>
          <t>Noise Cancel Headset</t>
        </is>
      </c>
      <c r="B4" t="inlineStr">
        <is>
          <t>Electronics</t>
        </is>
      </c>
      <c r="C4" s="3" t="n">
        <v>8500</v>
      </c>
      <c r="D4" s="3" t="n">
        <v>4714</v>
      </c>
    </row>
    <row r="5">
      <c r="A5" t="inlineStr">
        <is>
          <t>Office Chair</t>
        </is>
      </c>
      <c r="B5" t="inlineStr">
        <is>
          <t>Furniture</t>
        </is>
      </c>
      <c r="C5" s="3" t="n">
        <v>12000</v>
      </c>
      <c r="D5" s="3" t="n">
        <v>8805</v>
      </c>
    </row>
    <row r="6">
      <c r="A6" t="inlineStr">
        <is>
          <t>Standing Desk</t>
        </is>
      </c>
      <c r="B6" t="inlineStr">
        <is>
          <t>Furniture</t>
        </is>
      </c>
      <c r="C6" s="3" t="n">
        <v>24000</v>
      </c>
      <c r="D6" s="3" t="n">
        <v>13587</v>
      </c>
    </row>
    <row r="7">
      <c r="A7" t="inlineStr">
        <is>
          <t>Filing Cabinet</t>
        </is>
      </c>
      <c r="B7" t="inlineStr">
        <is>
          <t>Furniture</t>
        </is>
      </c>
      <c r="C7" s="3" t="n">
        <v>7000</v>
      </c>
      <c r="D7" s="3" t="n">
        <v>4582</v>
      </c>
    </row>
    <row r="8">
      <c r="A8" t="inlineStr">
        <is>
          <t>A4 Paper Ream</t>
        </is>
      </c>
      <c r="B8" t="inlineStr">
        <is>
          <t>Stationery</t>
        </is>
      </c>
      <c r="C8" s="3" t="n">
        <v>350</v>
      </c>
      <c r="D8" s="3" t="n">
        <v>259</v>
      </c>
    </row>
    <row r="9">
      <c r="A9" t="inlineStr">
        <is>
          <t>Gel Pen Pack</t>
        </is>
      </c>
      <c r="B9" t="inlineStr">
        <is>
          <t>Stationery</t>
        </is>
      </c>
      <c r="C9" s="3" t="n">
        <v>250</v>
      </c>
      <c r="D9" s="3" t="n">
        <v>143</v>
      </c>
    </row>
    <row r="10">
      <c r="A10" t="inlineStr">
        <is>
          <t>Notebook Set</t>
        </is>
      </c>
      <c r="B10" t="inlineStr">
        <is>
          <t>Stationery</t>
        </is>
      </c>
      <c r="C10" s="3" t="n">
        <v>600</v>
      </c>
      <c r="D10" s="3" t="n">
        <v>419</v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1" t="inlineStr">
        <is>
          <t>Region</t>
        </is>
      </c>
      <c r="B1" s="1" t="inlineStr">
        <is>
          <t>Salesperson</t>
        </is>
      </c>
      <c r="C1" s="1" t="inlineStr">
        <is>
          <t>MonthlyTarget</t>
        </is>
      </c>
    </row>
    <row r="2">
      <c r="A2" t="inlineStr">
        <is>
          <t>North</t>
        </is>
      </c>
      <c r="B2" t="inlineStr">
        <is>
          <t>Aarav Mehta</t>
        </is>
      </c>
      <c r="C2" s="3" t="n">
        <v>300000</v>
      </c>
    </row>
    <row r="3">
      <c r="A3" t="inlineStr">
        <is>
          <t>North</t>
        </is>
      </c>
      <c r="B3" t="inlineStr">
        <is>
          <t>Priya Nair</t>
        </is>
      </c>
      <c r="C3" s="3" t="n">
        <v>250000</v>
      </c>
    </row>
    <row r="4">
      <c r="A4" t="inlineStr">
        <is>
          <t>South</t>
        </is>
      </c>
      <c r="B4" t="inlineStr">
        <is>
          <t>Rahul Iyer</t>
        </is>
      </c>
      <c r="C4" s="3" t="n">
        <v>150000</v>
      </c>
    </row>
    <row r="5">
      <c r="A5" t="inlineStr">
        <is>
          <t>South</t>
        </is>
      </c>
      <c r="B5" t="inlineStr">
        <is>
          <t>Sneha Rao</t>
        </is>
      </c>
      <c r="C5" s="3" t="n">
        <v>300000</v>
      </c>
    </row>
    <row r="6">
      <c r="A6" t="inlineStr">
        <is>
          <t>East</t>
        </is>
      </c>
      <c r="B6" t="inlineStr">
        <is>
          <t>Kabir Das</t>
        </is>
      </c>
      <c r="C6" s="3" t="n">
        <v>150000</v>
      </c>
    </row>
    <row r="7">
      <c r="A7" t="inlineStr">
        <is>
          <t>East</t>
        </is>
      </c>
      <c r="B7" t="inlineStr">
        <is>
          <t>Meera Sen</t>
        </is>
      </c>
      <c r="C7" s="3" t="n">
        <v>200000</v>
      </c>
    </row>
    <row r="8">
      <c r="A8" t="inlineStr">
        <is>
          <t>West</t>
        </is>
      </c>
      <c r="B8" t="inlineStr">
        <is>
          <t>Vikram Shah</t>
        </is>
      </c>
      <c r="C8" s="3" t="n">
        <v>300000</v>
      </c>
    </row>
    <row r="9">
      <c r="A9" t="inlineStr">
        <is>
          <t>West</t>
        </is>
      </c>
      <c r="B9" t="inlineStr">
        <is>
          <t>Ananya Joshi</t>
        </is>
      </c>
      <c r="C9" s="3" t="n">
        <v>150000</v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4" max="4"/>
    <col width="16" customWidth="1" min="5" max="5"/>
    <col width="16" customWidth="1" min="7" max="7"/>
    <col width="16" customWidth="1" min="8" max="8"/>
  </cols>
  <sheetData>
    <row r="1">
      <c r="A1" s="5" t="inlineStr">
        <is>
          <t>Sales Dashboard</t>
        </is>
      </c>
    </row>
    <row r="3">
      <c r="A3" s="6" t="inlineStr">
        <is>
          <t>Monthly Net Revenue</t>
        </is>
      </c>
      <c r="D3" s="6" t="inlineStr">
        <is>
          <t>Net Revenue by Region</t>
        </is>
      </c>
      <c r="G3" s="6" t="inlineStr">
        <is>
          <t>Net Revenue by Category</t>
        </is>
      </c>
    </row>
    <row r="4">
      <c r="A4" s="7" t="inlineStr">
        <is>
          <t>Month</t>
        </is>
      </c>
      <c r="B4" s="7" t="inlineStr">
        <is>
          <t>Net Revenue</t>
        </is>
      </c>
      <c r="D4" s="7" t="inlineStr">
        <is>
          <t>Region</t>
        </is>
      </c>
      <c r="E4" s="7" t="inlineStr">
        <is>
          <t>Net Revenue</t>
        </is>
      </c>
      <c r="G4" s="7" t="inlineStr">
        <is>
          <t>Category</t>
        </is>
      </c>
      <c r="H4" s="7" t="inlineStr">
        <is>
          <t>Net Revenue</t>
        </is>
      </c>
    </row>
    <row r="5">
      <c r="A5" s="8" t="n">
        <v>45658</v>
      </c>
      <c r="B5" s="3" t="n">
        <v>2631775</v>
      </c>
      <c r="D5" t="inlineStr">
        <is>
          <t>North</t>
        </is>
      </c>
      <c r="E5" s="3" t="n">
        <v>5300280</v>
      </c>
      <c r="G5" t="inlineStr">
        <is>
          <t>Electronics</t>
        </is>
      </c>
      <c r="H5" s="3" t="n">
        <v>11912375</v>
      </c>
    </row>
    <row r="6">
      <c r="A6" s="8" t="n">
        <v>45689</v>
      </c>
      <c r="B6" s="3" t="n">
        <v>678050</v>
      </c>
      <c r="D6" t="inlineStr">
        <is>
          <t>South</t>
        </is>
      </c>
      <c r="E6" s="3" t="n">
        <v>3712480</v>
      </c>
      <c r="G6" t="inlineStr">
        <is>
          <t>Furniture</t>
        </is>
      </c>
      <c r="H6" s="3" t="n">
        <v>6653000</v>
      </c>
    </row>
    <row r="7">
      <c r="A7" s="8" t="n">
        <v>45717</v>
      </c>
      <c r="B7" s="3" t="n">
        <v>3360925</v>
      </c>
      <c r="D7" t="inlineStr">
        <is>
          <t>East</t>
        </is>
      </c>
      <c r="E7" s="3" t="n">
        <v>5853755</v>
      </c>
      <c r="G7" t="inlineStr">
        <is>
          <t>Stationery</t>
        </is>
      </c>
      <c r="H7" s="3" t="n">
        <v>179860</v>
      </c>
    </row>
    <row r="8">
      <c r="A8" s="8" t="n">
        <v>45748</v>
      </c>
      <c r="B8" s="3" t="n">
        <v>1417700</v>
      </c>
      <c r="D8" t="inlineStr">
        <is>
          <t>West</t>
        </is>
      </c>
      <c r="E8" s="3" t="n">
        <v>3878720</v>
      </c>
    </row>
    <row r="9">
      <c r="A9" s="8" t="n">
        <v>45778</v>
      </c>
      <c r="B9" s="3" t="n">
        <v>1129620</v>
      </c>
    </row>
    <row r="10">
      <c r="A10" s="8" t="n">
        <v>45809</v>
      </c>
      <c r="B10" s="3" t="n">
        <v>2216930</v>
      </c>
    </row>
    <row r="11">
      <c r="A11" s="8" t="n">
        <v>45839</v>
      </c>
      <c r="B11" s="3" t="n">
        <v>460140</v>
      </c>
    </row>
    <row r="12">
      <c r="A12" s="8" t="n">
        <v>45870</v>
      </c>
      <c r="B12" s="3" t="n">
        <v>2345135</v>
      </c>
    </row>
    <row r="13">
      <c r="A13" s="8" t="n">
        <v>45901</v>
      </c>
      <c r="B13" s="3" t="n">
        <v>1818600</v>
      </c>
    </row>
    <row r="14">
      <c r="A14" s="8" t="n">
        <v>45931</v>
      </c>
      <c r="B14" s="3" t="n">
        <v>1193950</v>
      </c>
    </row>
    <row r="15">
      <c r="A15" s="8" t="n">
        <v>45962</v>
      </c>
      <c r="B15" s="3" t="n">
        <v>808425</v>
      </c>
    </row>
    <row r="16">
      <c r="A16" s="8" t="n">
        <v>45992</v>
      </c>
      <c r="B16" s="3" t="n">
        <v>683985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18" customWidth="1" min="3" max="3"/>
    <col hidden="1" width="13" customWidth="1" min="5" max="5"/>
    <col hidden="1" width="13" customWidth="1" min="6" max="6"/>
  </cols>
  <sheetData>
    <row r="1">
      <c r="A1" s="5" t="inlineStr">
        <is>
          <t>Sales Analysis</t>
        </is>
      </c>
      <c r="E1" t="inlineStr">
        <is>
          <t>East Units Helper</t>
        </is>
      </c>
      <c r="F1" t="inlineStr">
        <is>
          <t>East Units Helper</t>
        </is>
      </c>
    </row>
    <row r="2">
      <c r="E2">
        <f>IF(Sales!C2="East",Sales!H2,"")</f>
        <v/>
      </c>
      <c r="F2">
        <f>IF(Sales!C2="East",Sales!H2,"")</f>
        <v/>
      </c>
    </row>
    <row r="3">
      <c r="A3" s="6" t="inlineStr">
        <is>
          <t>2. Aggregation</t>
        </is>
      </c>
      <c r="E3">
        <f>IF(Sales!C3="East",Sales!H3,"")</f>
        <v/>
      </c>
      <c r="F3">
        <f>IF(Sales!C3="East",Sales!H3,"")</f>
        <v/>
      </c>
    </row>
    <row r="4">
      <c r="A4" s="7" t="inlineStr">
        <is>
          <t>Metric</t>
        </is>
      </c>
      <c r="B4" s="7" t="inlineStr">
        <is>
          <t>Formula</t>
        </is>
      </c>
      <c r="C4" s="7" t="inlineStr">
        <is>
          <t>Result</t>
        </is>
      </c>
      <c r="E4" s="7">
        <f>IF(Sales!C4="East",Sales!H4,"")</f>
        <v/>
      </c>
      <c r="F4" s="7">
        <f>IF(Sales!C4="East",Sales!H4,"")</f>
        <v/>
      </c>
    </row>
    <row r="5">
      <c r="A5" t="inlineStr">
        <is>
          <t>Total Units</t>
        </is>
      </c>
      <c r="B5" t="inlineStr">
        <is>
          <t>=SUM(Sales!H2:H121)</t>
        </is>
      </c>
      <c r="C5" s="3">
        <f>SUM(Sales!H2:H121)</f>
        <v/>
      </c>
      <c r="E5">
        <f>IF(Sales!C5="East",Sales!H5,"")</f>
        <v/>
      </c>
      <c r="F5">
        <f>IF(Sales!C5="East",Sales!H5,"")</f>
        <v/>
      </c>
    </row>
    <row r="6">
      <c r="A6" t="inlineStr">
        <is>
          <t>Average Units</t>
        </is>
      </c>
      <c r="B6" t="inlineStr">
        <is>
          <t>=AVERAGE(Sales!H2:H121)</t>
        </is>
      </c>
      <c r="C6" s="9">
        <f>AVERAGE(Sales!H2:H121)</f>
        <v/>
      </c>
      <c r="E6">
        <f>IF(Sales!C6="East",Sales!H6,"")</f>
        <v/>
      </c>
      <c r="F6">
        <f>IF(Sales!C6="East",Sales!H6,"")</f>
        <v/>
      </c>
    </row>
    <row r="7">
      <c r="A7" t="inlineStr">
        <is>
          <t>Minimum Units</t>
        </is>
      </c>
      <c r="B7" t="inlineStr">
        <is>
          <t>=MIN(Sales!H2:H121)</t>
        </is>
      </c>
      <c r="C7" s="3">
        <f>MIN(Sales!H2:H121)</f>
        <v/>
      </c>
      <c r="E7">
        <f>IF(Sales!C7="East",Sales!H7,"")</f>
        <v/>
      </c>
      <c r="F7">
        <f>IF(Sales!C7="East",Sales!H7,"")</f>
        <v/>
      </c>
    </row>
    <row r="8">
      <c r="A8" t="inlineStr">
        <is>
          <t>Maximum Units</t>
        </is>
      </c>
      <c r="B8" t="inlineStr">
        <is>
          <t>=MAX(Sales!H2:H121)</t>
        </is>
      </c>
      <c r="C8" s="3">
        <f>MAX(Sales!H2:H121)</f>
        <v/>
      </c>
      <c r="E8">
        <f>IF(Sales!C8="East",Sales!H8,"")</f>
        <v/>
      </c>
      <c r="F8">
        <f>IF(Sales!C8="East",Sales!H8,"")</f>
        <v/>
      </c>
    </row>
    <row r="9">
      <c r="A9" t="inlineStr">
        <is>
          <t>Median Units</t>
        </is>
      </c>
      <c r="B9" t="inlineStr">
        <is>
          <t>=MEDIAN(Sales!H2:H121)</t>
        </is>
      </c>
      <c r="C9" s="3">
        <f>MEDIAN(Sales!H2:H121)</f>
        <v/>
      </c>
      <c r="E9">
        <f>IF(Sales!C9="East",Sales!H9,"")</f>
        <v/>
      </c>
      <c r="F9">
        <f>IF(Sales!C9="East",Sales!H9,"")</f>
        <v/>
      </c>
    </row>
    <row r="10">
      <c r="A10" t="inlineStr">
        <is>
          <t>Most Frequent Units</t>
        </is>
      </c>
      <c r="B10" t="inlineStr">
        <is>
          <t>=MODE(Sales!H2:H121)</t>
        </is>
      </c>
      <c r="C10" s="3">
        <f>MODE(Sales!H2:H121)</f>
        <v/>
      </c>
      <c r="E10">
        <f>IF(Sales!C10="East",Sales!H10,"")</f>
        <v/>
      </c>
      <c r="F10">
        <f>IF(Sales!C10="East",Sales!H10,"")</f>
        <v/>
      </c>
    </row>
    <row r="11">
      <c r="A11" t="inlineStr">
        <is>
          <t>Numeric Unit Count</t>
        </is>
      </c>
      <c r="B11" t="inlineStr">
        <is>
          <t>=COUNT(Sales!H2:H121)</t>
        </is>
      </c>
      <c r="C11" s="3">
        <f>COUNT(Sales!H2:H121)</f>
        <v/>
      </c>
      <c r="E11">
        <f>IF(Sales!C11="East",Sales!H11,"")</f>
        <v/>
      </c>
      <c r="F11">
        <f>IF(Sales!C11="East",Sales!H11,"")</f>
        <v/>
      </c>
    </row>
    <row r="12">
      <c r="A12" t="inlineStr">
        <is>
          <t>Non-blank OrderID Count</t>
        </is>
      </c>
      <c r="B12" t="inlineStr">
        <is>
          <t>=COUNTA(Sales!A2:A121)</t>
        </is>
      </c>
      <c r="C12" s="3">
        <f>COUNTA(Sales!A2:A121)</f>
        <v/>
      </c>
      <c r="E12">
        <f>IF(Sales!C12="East",Sales!H12,"")</f>
        <v/>
      </c>
      <c r="F12">
        <f>IF(Sales!C12="East",Sales!H12,"")</f>
        <v/>
      </c>
    </row>
    <row r="13">
      <c r="A13" t="inlineStr">
        <is>
          <t>Blank OrderID Count</t>
        </is>
      </c>
      <c r="B13" t="inlineStr">
        <is>
          <t>=COUNTBLANK(Sales!A2:A121)</t>
        </is>
      </c>
      <c r="C13" s="3">
        <f>COUNTBLANK(Sales!A2:A121)</f>
        <v/>
      </c>
      <c r="E13">
        <f>IF(Sales!C13="East",Sales!H13,"")</f>
        <v/>
      </c>
      <c r="F13">
        <f>IF(Sales!C13="East",Sales!H13,"")</f>
        <v/>
      </c>
    </row>
    <row r="14">
      <c r="A14" t="inlineStr">
        <is>
          <t>Third-largest Units</t>
        </is>
      </c>
      <c r="B14" t="inlineStr">
        <is>
          <t>=LARGE(Sales!H2:H121,3)</t>
        </is>
      </c>
      <c r="C14" s="3">
        <f>LARGE(Sales!H2:H121,3)</f>
        <v/>
      </c>
      <c r="E14">
        <f>IF(Sales!C14="East",Sales!H14,"")</f>
        <v/>
      </c>
      <c r="F14">
        <f>IF(Sales!C14="East",Sales!H14,"")</f>
        <v/>
      </c>
    </row>
    <row r="15">
      <c r="A15" t="inlineStr">
        <is>
          <t>Third-smallest Units</t>
        </is>
      </c>
      <c r="B15" t="inlineStr">
        <is>
          <t>=SMALL(Sales!H2:H121,3)</t>
        </is>
      </c>
      <c r="C15" s="3">
        <f>SMALL(Sales!H2:H121,3)</f>
        <v/>
      </c>
      <c r="E15">
        <f>IF(Sales!C15="East",Sales!H15,"")</f>
        <v/>
      </c>
      <c r="F15">
        <f>IF(Sales!C15="East",Sales!H15,"")</f>
        <v/>
      </c>
    </row>
    <row r="16">
      <c r="A16" t="inlineStr">
        <is>
          <t>Visible Units Subtotal</t>
        </is>
      </c>
      <c r="B16" t="inlineStr">
        <is>
          <t>=SUBTOTAL(109,Sales!H2:H121)</t>
        </is>
      </c>
      <c r="C16" s="3">
        <f>SUBTOTAL(109,Sales!H2:H121)</f>
        <v/>
      </c>
      <c r="E16">
        <f>IF(Sales!C16="East",Sales!H16,"")</f>
        <v/>
      </c>
      <c r="F16">
        <f>IF(Sales!C16="East",Sales!H16,"")</f>
        <v/>
      </c>
    </row>
    <row r="17">
      <c r="E17">
        <f>IF(Sales!C17="East",Sales!H17,"")</f>
        <v/>
      </c>
      <c r="F17">
        <f>IF(Sales!C17="East",Sales!H17,"")</f>
        <v/>
      </c>
    </row>
    <row r="18">
      <c r="E18">
        <f>IF(Sales!C18="East",Sales!H18,"")</f>
        <v/>
      </c>
      <c r="F18">
        <f>IF(Sales!C18="East",Sales!H18,"")</f>
        <v/>
      </c>
    </row>
    <row r="19">
      <c r="A19" s="6" t="inlineStr">
        <is>
          <t>3. Conditional Aggregation</t>
        </is>
      </c>
      <c r="E19">
        <f>IF(Sales!C19="East",Sales!H19,"")</f>
        <v/>
      </c>
      <c r="F19">
        <f>IF(Sales!C19="East",Sales!H19,"")</f>
        <v/>
      </c>
    </row>
    <row r="20">
      <c r="A20" s="7" t="inlineStr">
        <is>
          <t>Metric</t>
        </is>
      </c>
      <c r="B20" s="7" t="inlineStr">
        <is>
          <t>Formula</t>
        </is>
      </c>
      <c r="C20" s="7" t="inlineStr">
        <is>
          <t>Result</t>
        </is>
      </c>
      <c r="E20" s="7">
        <f>IF(Sales!C20="East",Sales!H20,"")</f>
        <v/>
      </c>
      <c r="F20" s="7">
        <f>IF(Sales!C20="East",Sales!H20,"")</f>
        <v/>
      </c>
    </row>
    <row r="21">
      <c r="A21" t="inlineStr">
        <is>
          <t>North Total Units</t>
        </is>
      </c>
      <c r="B21" t="inlineStr">
        <is>
          <t>=SUMIF(Sales!C2:C121,"North",Sales!H2:H121)</t>
        </is>
      </c>
      <c r="C21" s="3">
        <f>SUMIF(Sales!C2:C121,"North",Sales!H2:H121)</f>
        <v/>
      </c>
      <c r="E21">
        <f>IF(Sales!C21="East",Sales!H21,"")</f>
        <v/>
      </c>
      <c r="F21">
        <f>IF(Sales!C21="East",Sales!H21,"")</f>
        <v/>
      </c>
    </row>
    <row r="22">
      <c r="A22" t="inlineStr">
        <is>
          <t>North Electronics Units</t>
        </is>
      </c>
      <c r="B22" t="inlineStr">
        <is>
          <t>=SUMIFS(Sales!H2:H121,Sales!C2:C121,"North",Sales!F2:F121,"Electronics")</t>
        </is>
      </c>
      <c r="C22" s="3">
        <f>SUMIFS(Sales!H2:H121,Sales!C2:C121,"North",Sales!F2:F121,"Electronics")</f>
        <v/>
      </c>
      <c r="E22">
        <f>IF(Sales!C22="East",Sales!H22,"")</f>
        <v/>
      </c>
      <c r="F22">
        <f>IF(Sales!C22="East",Sales!H22,"")</f>
        <v/>
      </c>
    </row>
    <row r="23">
      <c r="A23" t="inlineStr">
        <is>
          <t>Furniture Order Count</t>
        </is>
      </c>
      <c r="B23" t="inlineStr">
        <is>
          <t>=COUNTIF(Sales!F2:F121,"Furniture")</t>
        </is>
      </c>
      <c r="C23" s="3">
        <f>COUNTIF(Sales!F2:F121,"Furniture")</f>
        <v/>
      </c>
      <c r="E23">
        <f>IF(Sales!C23="East",Sales!H23,"")</f>
        <v/>
      </c>
      <c r="F23">
        <f>IF(Sales!C23="East",Sales!H23,"")</f>
        <v/>
      </c>
    </row>
    <row r="24">
      <c r="A24" t="inlineStr">
        <is>
          <t>West Online Order Count</t>
        </is>
      </c>
      <c r="B24" t="inlineStr">
        <is>
          <t>=COUNTIFS(Sales!C2:C121,"West",Sales!E2:E121,"Online")</t>
        </is>
      </c>
      <c r="C24" s="3">
        <f>COUNTIFS(Sales!C2:C121,"West",Sales!E2:E121,"Online")</f>
        <v/>
      </c>
      <c r="E24">
        <f>IF(Sales!C24="East",Sales!H24,"")</f>
        <v/>
      </c>
      <c r="F24">
        <f>IF(Sales!C24="East",Sales!H24,"")</f>
        <v/>
      </c>
    </row>
    <row r="25">
      <c r="A25" t="inlineStr">
        <is>
          <t>North Average Units</t>
        </is>
      </c>
      <c r="B25" t="inlineStr">
        <is>
          <t>=AVERAGEIF(Sales!C2:C121,"North",Sales!H2:H121)</t>
        </is>
      </c>
      <c r="C25" s="9">
        <f>AVERAGEIF(Sales!C2:C121,"North",Sales!H2:H121)</f>
        <v/>
      </c>
      <c r="E25">
        <f>IF(Sales!C25="East",Sales!H25,"")</f>
        <v/>
      </c>
      <c r="F25">
        <f>IF(Sales!C25="East",Sales!H25,"")</f>
        <v/>
      </c>
    </row>
    <row r="26">
      <c r="A26" t="inlineStr">
        <is>
          <t>North Electronics Average Units</t>
        </is>
      </c>
      <c r="B26" t="inlineStr">
        <is>
          <t>=AVERAGEIFS(Sales!H2:H121,Sales!C2:C121,"North",Sales!F2:F121,"Electronics")</t>
        </is>
      </c>
      <c r="C26" s="9">
        <f>AVERAGEIFS(Sales!H2:H121,Sales!C2:C121,"North",Sales!F2:F121,"Electronics")</f>
        <v/>
      </c>
      <c r="E26">
        <f>IF(Sales!C26="East",Sales!H26,"")</f>
        <v/>
      </c>
      <c r="F26">
        <f>IF(Sales!C26="East",Sales!H26,"")</f>
        <v/>
      </c>
    </row>
    <row r="27">
      <c r="A27" t="inlineStr">
        <is>
          <t>East Maximum Units</t>
        </is>
      </c>
      <c r="B27" t="inlineStr">
        <is>
          <t>=MAX(E2:E121)</t>
        </is>
      </c>
      <c r="C27" s="3">
        <f>MAX(E2:E121)</f>
        <v/>
      </c>
      <c r="E27">
        <f>IF(Sales!C27="East",Sales!H27,"")</f>
        <v/>
      </c>
      <c r="F27">
        <f>IF(Sales!C27="East",Sales!H27,"")</f>
        <v/>
      </c>
    </row>
    <row r="28">
      <c r="A28" t="inlineStr">
        <is>
          <t>East Minimum Units</t>
        </is>
      </c>
      <c r="B28" t="inlineStr">
        <is>
          <t>=MIN(F2:F121)</t>
        </is>
      </c>
      <c r="C28" s="3">
        <f>MIN(F2:F121)</f>
        <v/>
      </c>
      <c r="E28">
        <f>IF(Sales!C28="East",Sales!H28,"")</f>
        <v/>
      </c>
      <c r="F28">
        <f>IF(Sales!C28="East",Sales!H28,"")</f>
        <v/>
      </c>
    </row>
    <row r="29">
      <c r="A29" t="inlineStr">
        <is>
          <t>South Gross Revenue</t>
        </is>
      </c>
      <c r="B29" t="inlineStr">
        <is>
          <t>=SUMPRODUCT((Sales!C2:C121="South")*Sales!H2:H121*Sales!I2:I121)</t>
        </is>
      </c>
      <c r="C29" s="3">
        <f>SUMPRODUCT((Sales!C2:C121="South")*Sales!H2:H121*Sales!I2:I121)</f>
        <v/>
      </c>
      <c r="E29">
        <f>IF(Sales!C29="East",Sales!H29,"")</f>
        <v/>
      </c>
      <c r="F29">
        <f>IF(Sales!C29="East",Sales!H29,"")</f>
        <v/>
      </c>
    </row>
    <row r="30">
      <c r="E30">
        <f>IF(Sales!C30="East",Sales!H30,"")</f>
        <v/>
      </c>
      <c r="F30">
        <f>IF(Sales!C30="East",Sales!H30,"")</f>
        <v/>
      </c>
    </row>
    <row r="31">
      <c r="E31">
        <f>IF(Sales!C31="East",Sales!H31,"")</f>
        <v/>
      </c>
      <c r="F31">
        <f>IF(Sales!C31="East",Sales!H31,"")</f>
        <v/>
      </c>
    </row>
    <row r="32">
      <c r="E32">
        <f>IF(Sales!C32="East",Sales!H32,"")</f>
        <v/>
      </c>
      <c r="F32">
        <f>IF(Sales!C32="East",Sales!H32,"")</f>
        <v/>
      </c>
    </row>
    <row r="33">
      <c r="E33">
        <f>IF(Sales!C33="East",Sales!H33,"")</f>
        <v/>
      </c>
      <c r="F33">
        <f>IF(Sales!C33="East",Sales!H33,"")</f>
        <v/>
      </c>
    </row>
    <row r="34">
      <c r="E34">
        <f>IF(Sales!C34="East",Sales!H34,"")</f>
        <v/>
      </c>
      <c r="F34">
        <f>IF(Sales!C34="East",Sales!H34,"")</f>
        <v/>
      </c>
    </row>
    <row r="35">
      <c r="E35">
        <f>IF(Sales!C35="East",Sales!H35,"")</f>
        <v/>
      </c>
      <c r="F35">
        <f>IF(Sales!C35="East",Sales!H35,"")</f>
        <v/>
      </c>
    </row>
    <row r="36">
      <c r="E36">
        <f>IF(Sales!C36="East",Sales!H36,"")</f>
        <v/>
      </c>
      <c r="F36">
        <f>IF(Sales!C36="East",Sales!H36,"")</f>
        <v/>
      </c>
    </row>
    <row r="37">
      <c r="E37">
        <f>IF(Sales!C37="East",Sales!H37,"")</f>
        <v/>
      </c>
      <c r="F37">
        <f>IF(Sales!C37="East",Sales!H37,"")</f>
        <v/>
      </c>
    </row>
    <row r="38">
      <c r="E38">
        <f>IF(Sales!C38="East",Sales!H38,"")</f>
        <v/>
      </c>
      <c r="F38">
        <f>IF(Sales!C38="East",Sales!H38,"")</f>
        <v/>
      </c>
    </row>
    <row r="39">
      <c r="E39">
        <f>IF(Sales!C39="East",Sales!H39,"")</f>
        <v/>
      </c>
      <c r="F39">
        <f>IF(Sales!C39="East",Sales!H39,"")</f>
        <v/>
      </c>
    </row>
    <row r="40">
      <c r="E40">
        <f>IF(Sales!C40="East",Sales!H40,"")</f>
        <v/>
      </c>
      <c r="F40">
        <f>IF(Sales!C40="East",Sales!H40,"")</f>
        <v/>
      </c>
    </row>
    <row r="41">
      <c r="E41">
        <f>IF(Sales!C41="East",Sales!H41,"")</f>
        <v/>
      </c>
      <c r="F41">
        <f>IF(Sales!C41="East",Sales!H41,"")</f>
        <v/>
      </c>
    </row>
    <row r="42">
      <c r="E42">
        <f>IF(Sales!C42="East",Sales!H42,"")</f>
        <v/>
      </c>
      <c r="F42">
        <f>IF(Sales!C42="East",Sales!H42,"")</f>
        <v/>
      </c>
    </row>
    <row r="43">
      <c r="E43">
        <f>IF(Sales!C43="East",Sales!H43,"")</f>
        <v/>
      </c>
      <c r="F43">
        <f>IF(Sales!C43="East",Sales!H43,"")</f>
        <v/>
      </c>
    </row>
    <row r="44">
      <c r="E44">
        <f>IF(Sales!C44="East",Sales!H44,"")</f>
        <v/>
      </c>
      <c r="F44">
        <f>IF(Sales!C44="East",Sales!H44,"")</f>
        <v/>
      </c>
    </row>
    <row r="45">
      <c r="E45">
        <f>IF(Sales!C45="East",Sales!H45,"")</f>
        <v/>
      </c>
      <c r="F45">
        <f>IF(Sales!C45="East",Sales!H45,"")</f>
        <v/>
      </c>
    </row>
    <row r="46">
      <c r="E46">
        <f>IF(Sales!C46="East",Sales!H46,"")</f>
        <v/>
      </c>
      <c r="F46">
        <f>IF(Sales!C46="East",Sales!H46,"")</f>
        <v/>
      </c>
    </row>
    <row r="47">
      <c r="E47">
        <f>IF(Sales!C47="East",Sales!H47,"")</f>
        <v/>
      </c>
      <c r="F47">
        <f>IF(Sales!C47="East",Sales!H47,"")</f>
        <v/>
      </c>
    </row>
    <row r="48">
      <c r="E48">
        <f>IF(Sales!C48="East",Sales!H48,"")</f>
        <v/>
      </c>
      <c r="F48">
        <f>IF(Sales!C48="East",Sales!H48,"")</f>
        <v/>
      </c>
    </row>
    <row r="49">
      <c r="E49">
        <f>IF(Sales!C49="East",Sales!H49,"")</f>
        <v/>
      </c>
      <c r="F49">
        <f>IF(Sales!C49="East",Sales!H49,"")</f>
        <v/>
      </c>
    </row>
    <row r="50">
      <c r="E50">
        <f>IF(Sales!C50="East",Sales!H50,"")</f>
        <v/>
      </c>
      <c r="F50">
        <f>IF(Sales!C50="East",Sales!H50,"")</f>
        <v/>
      </c>
    </row>
    <row r="51">
      <c r="E51">
        <f>IF(Sales!C51="East",Sales!H51,"")</f>
        <v/>
      </c>
      <c r="F51">
        <f>IF(Sales!C51="East",Sales!H51,"")</f>
        <v/>
      </c>
    </row>
    <row r="52">
      <c r="E52">
        <f>IF(Sales!C52="East",Sales!H52,"")</f>
        <v/>
      </c>
      <c r="F52">
        <f>IF(Sales!C52="East",Sales!H52,"")</f>
        <v/>
      </c>
    </row>
    <row r="53">
      <c r="E53">
        <f>IF(Sales!C53="East",Sales!H53,"")</f>
        <v/>
      </c>
      <c r="F53">
        <f>IF(Sales!C53="East",Sales!H53,"")</f>
        <v/>
      </c>
    </row>
    <row r="54">
      <c r="E54">
        <f>IF(Sales!C54="East",Sales!H54,"")</f>
        <v/>
      </c>
      <c r="F54">
        <f>IF(Sales!C54="East",Sales!H54,"")</f>
        <v/>
      </c>
    </row>
    <row r="55">
      <c r="E55">
        <f>IF(Sales!C55="East",Sales!H55,"")</f>
        <v/>
      </c>
      <c r="F55">
        <f>IF(Sales!C55="East",Sales!H55,"")</f>
        <v/>
      </c>
    </row>
    <row r="56">
      <c r="E56">
        <f>IF(Sales!C56="East",Sales!H56,"")</f>
        <v/>
      </c>
      <c r="F56">
        <f>IF(Sales!C56="East",Sales!H56,"")</f>
        <v/>
      </c>
    </row>
    <row r="57">
      <c r="E57">
        <f>IF(Sales!C57="East",Sales!H57,"")</f>
        <v/>
      </c>
      <c r="F57">
        <f>IF(Sales!C57="East",Sales!H57,"")</f>
        <v/>
      </c>
    </row>
    <row r="58">
      <c r="E58">
        <f>IF(Sales!C58="East",Sales!H58,"")</f>
        <v/>
      </c>
      <c r="F58">
        <f>IF(Sales!C58="East",Sales!H58,"")</f>
        <v/>
      </c>
    </row>
    <row r="59">
      <c r="E59">
        <f>IF(Sales!C59="East",Sales!H59,"")</f>
        <v/>
      </c>
      <c r="F59">
        <f>IF(Sales!C59="East",Sales!H59,"")</f>
        <v/>
      </c>
    </row>
    <row r="60">
      <c r="E60">
        <f>IF(Sales!C60="East",Sales!H60,"")</f>
        <v/>
      </c>
      <c r="F60">
        <f>IF(Sales!C60="East",Sales!H60,"")</f>
        <v/>
      </c>
    </row>
    <row r="61">
      <c r="E61">
        <f>IF(Sales!C61="East",Sales!H61,"")</f>
        <v/>
      </c>
      <c r="F61">
        <f>IF(Sales!C61="East",Sales!H61,"")</f>
        <v/>
      </c>
    </row>
    <row r="62">
      <c r="E62">
        <f>IF(Sales!C62="East",Sales!H62,"")</f>
        <v/>
      </c>
      <c r="F62">
        <f>IF(Sales!C62="East",Sales!H62,"")</f>
        <v/>
      </c>
    </row>
    <row r="63">
      <c r="E63">
        <f>IF(Sales!C63="East",Sales!H63,"")</f>
        <v/>
      </c>
      <c r="F63">
        <f>IF(Sales!C63="East",Sales!H63,"")</f>
        <v/>
      </c>
    </row>
    <row r="64">
      <c r="E64">
        <f>IF(Sales!C64="East",Sales!H64,"")</f>
        <v/>
      </c>
      <c r="F64">
        <f>IF(Sales!C64="East",Sales!H64,"")</f>
        <v/>
      </c>
    </row>
    <row r="65">
      <c r="E65">
        <f>IF(Sales!C65="East",Sales!H65,"")</f>
        <v/>
      </c>
      <c r="F65">
        <f>IF(Sales!C65="East",Sales!H65,"")</f>
        <v/>
      </c>
    </row>
    <row r="66">
      <c r="E66">
        <f>IF(Sales!C66="East",Sales!H66,"")</f>
        <v/>
      </c>
      <c r="F66">
        <f>IF(Sales!C66="East",Sales!H66,"")</f>
        <v/>
      </c>
    </row>
    <row r="67">
      <c r="E67">
        <f>IF(Sales!C67="East",Sales!H67,"")</f>
        <v/>
      </c>
      <c r="F67">
        <f>IF(Sales!C67="East",Sales!H67,"")</f>
        <v/>
      </c>
    </row>
    <row r="68">
      <c r="E68">
        <f>IF(Sales!C68="East",Sales!H68,"")</f>
        <v/>
      </c>
      <c r="F68">
        <f>IF(Sales!C68="East",Sales!H68,"")</f>
        <v/>
      </c>
    </row>
    <row r="69">
      <c r="E69">
        <f>IF(Sales!C69="East",Sales!H69,"")</f>
        <v/>
      </c>
      <c r="F69">
        <f>IF(Sales!C69="East",Sales!H69,"")</f>
        <v/>
      </c>
    </row>
    <row r="70">
      <c r="E70">
        <f>IF(Sales!C70="East",Sales!H70,"")</f>
        <v/>
      </c>
      <c r="F70">
        <f>IF(Sales!C70="East",Sales!H70,"")</f>
        <v/>
      </c>
    </row>
    <row r="71">
      <c r="E71">
        <f>IF(Sales!C71="East",Sales!H71,"")</f>
        <v/>
      </c>
      <c r="F71">
        <f>IF(Sales!C71="East",Sales!H71,"")</f>
        <v/>
      </c>
    </row>
    <row r="72">
      <c r="E72">
        <f>IF(Sales!C72="East",Sales!H72,"")</f>
        <v/>
      </c>
      <c r="F72">
        <f>IF(Sales!C72="East",Sales!H72,"")</f>
        <v/>
      </c>
    </row>
    <row r="73">
      <c r="E73">
        <f>IF(Sales!C73="East",Sales!H73,"")</f>
        <v/>
      </c>
      <c r="F73">
        <f>IF(Sales!C73="East",Sales!H73,"")</f>
        <v/>
      </c>
    </row>
    <row r="74">
      <c r="E74">
        <f>IF(Sales!C74="East",Sales!H74,"")</f>
        <v/>
      </c>
      <c r="F74">
        <f>IF(Sales!C74="East",Sales!H74,"")</f>
        <v/>
      </c>
    </row>
    <row r="75">
      <c r="E75">
        <f>IF(Sales!C75="East",Sales!H75,"")</f>
        <v/>
      </c>
      <c r="F75">
        <f>IF(Sales!C75="East",Sales!H75,"")</f>
        <v/>
      </c>
    </row>
    <row r="76">
      <c r="E76">
        <f>IF(Sales!C76="East",Sales!H76,"")</f>
        <v/>
      </c>
      <c r="F76">
        <f>IF(Sales!C76="East",Sales!H76,"")</f>
        <v/>
      </c>
    </row>
    <row r="77">
      <c r="E77">
        <f>IF(Sales!C77="East",Sales!H77,"")</f>
        <v/>
      </c>
      <c r="F77">
        <f>IF(Sales!C77="East",Sales!H77,"")</f>
        <v/>
      </c>
    </row>
    <row r="78">
      <c r="E78">
        <f>IF(Sales!C78="East",Sales!H78,"")</f>
        <v/>
      </c>
      <c r="F78">
        <f>IF(Sales!C78="East",Sales!H78,"")</f>
        <v/>
      </c>
    </row>
    <row r="79">
      <c r="E79">
        <f>IF(Sales!C79="East",Sales!H79,"")</f>
        <v/>
      </c>
      <c r="F79">
        <f>IF(Sales!C79="East",Sales!H79,"")</f>
        <v/>
      </c>
    </row>
    <row r="80">
      <c r="E80">
        <f>IF(Sales!C80="East",Sales!H80,"")</f>
        <v/>
      </c>
      <c r="F80">
        <f>IF(Sales!C80="East",Sales!H80,"")</f>
        <v/>
      </c>
    </row>
    <row r="81">
      <c r="E81">
        <f>IF(Sales!C81="East",Sales!H81,"")</f>
        <v/>
      </c>
      <c r="F81">
        <f>IF(Sales!C81="East",Sales!H81,"")</f>
        <v/>
      </c>
    </row>
    <row r="82">
      <c r="E82">
        <f>IF(Sales!C82="East",Sales!H82,"")</f>
        <v/>
      </c>
      <c r="F82">
        <f>IF(Sales!C82="East",Sales!H82,"")</f>
        <v/>
      </c>
    </row>
    <row r="83">
      <c r="E83">
        <f>IF(Sales!C83="East",Sales!H83,"")</f>
        <v/>
      </c>
      <c r="F83">
        <f>IF(Sales!C83="East",Sales!H83,"")</f>
        <v/>
      </c>
    </row>
    <row r="84">
      <c r="E84">
        <f>IF(Sales!C84="East",Sales!H84,"")</f>
        <v/>
      </c>
      <c r="F84">
        <f>IF(Sales!C84="East",Sales!H84,"")</f>
        <v/>
      </c>
    </row>
    <row r="85">
      <c r="E85">
        <f>IF(Sales!C85="East",Sales!H85,"")</f>
        <v/>
      </c>
      <c r="F85">
        <f>IF(Sales!C85="East",Sales!H85,"")</f>
        <v/>
      </c>
    </row>
    <row r="86">
      <c r="E86">
        <f>IF(Sales!C86="East",Sales!H86,"")</f>
        <v/>
      </c>
      <c r="F86">
        <f>IF(Sales!C86="East",Sales!H86,"")</f>
        <v/>
      </c>
    </row>
    <row r="87">
      <c r="E87">
        <f>IF(Sales!C87="East",Sales!H87,"")</f>
        <v/>
      </c>
      <c r="F87">
        <f>IF(Sales!C87="East",Sales!H87,"")</f>
        <v/>
      </c>
    </row>
    <row r="88">
      <c r="E88">
        <f>IF(Sales!C88="East",Sales!H88,"")</f>
        <v/>
      </c>
      <c r="F88">
        <f>IF(Sales!C88="East",Sales!H88,"")</f>
        <v/>
      </c>
    </row>
    <row r="89">
      <c r="E89">
        <f>IF(Sales!C89="East",Sales!H89,"")</f>
        <v/>
      </c>
      <c r="F89">
        <f>IF(Sales!C89="East",Sales!H89,"")</f>
        <v/>
      </c>
    </row>
    <row r="90">
      <c r="E90">
        <f>IF(Sales!C90="East",Sales!H90,"")</f>
        <v/>
      </c>
      <c r="F90">
        <f>IF(Sales!C90="East",Sales!H90,"")</f>
        <v/>
      </c>
    </row>
    <row r="91">
      <c r="E91">
        <f>IF(Sales!C91="East",Sales!H91,"")</f>
        <v/>
      </c>
      <c r="F91">
        <f>IF(Sales!C91="East",Sales!H91,"")</f>
        <v/>
      </c>
    </row>
    <row r="92">
      <c r="E92">
        <f>IF(Sales!C92="East",Sales!H92,"")</f>
        <v/>
      </c>
      <c r="F92">
        <f>IF(Sales!C92="East",Sales!H92,"")</f>
        <v/>
      </c>
    </row>
    <row r="93">
      <c r="E93">
        <f>IF(Sales!C93="East",Sales!H93,"")</f>
        <v/>
      </c>
      <c r="F93">
        <f>IF(Sales!C93="East",Sales!H93,"")</f>
        <v/>
      </c>
    </row>
    <row r="94">
      <c r="E94">
        <f>IF(Sales!C94="East",Sales!H94,"")</f>
        <v/>
      </c>
      <c r="F94">
        <f>IF(Sales!C94="East",Sales!H94,"")</f>
        <v/>
      </c>
    </row>
    <row r="95">
      <c r="E95">
        <f>IF(Sales!C95="East",Sales!H95,"")</f>
        <v/>
      </c>
      <c r="F95">
        <f>IF(Sales!C95="East",Sales!H95,"")</f>
        <v/>
      </c>
    </row>
    <row r="96">
      <c r="E96">
        <f>IF(Sales!C96="East",Sales!H96,"")</f>
        <v/>
      </c>
      <c r="F96">
        <f>IF(Sales!C96="East",Sales!H96,"")</f>
        <v/>
      </c>
    </row>
    <row r="97">
      <c r="E97">
        <f>IF(Sales!C97="East",Sales!H97,"")</f>
        <v/>
      </c>
      <c r="F97">
        <f>IF(Sales!C97="East",Sales!H97,"")</f>
        <v/>
      </c>
    </row>
    <row r="98">
      <c r="E98">
        <f>IF(Sales!C98="East",Sales!H98,"")</f>
        <v/>
      </c>
      <c r="F98">
        <f>IF(Sales!C98="East",Sales!H98,"")</f>
        <v/>
      </c>
    </row>
    <row r="99">
      <c r="E99">
        <f>IF(Sales!C99="East",Sales!H99,"")</f>
        <v/>
      </c>
      <c r="F99">
        <f>IF(Sales!C99="East",Sales!H99,"")</f>
        <v/>
      </c>
    </row>
    <row r="100">
      <c r="E100">
        <f>IF(Sales!C100="East",Sales!H100,"")</f>
        <v/>
      </c>
      <c r="F100">
        <f>IF(Sales!C100="East",Sales!H100,"")</f>
        <v/>
      </c>
    </row>
    <row r="101">
      <c r="E101">
        <f>IF(Sales!C101="East",Sales!H101,"")</f>
        <v/>
      </c>
      <c r="F101">
        <f>IF(Sales!C101="East",Sales!H101,"")</f>
        <v/>
      </c>
    </row>
    <row r="102">
      <c r="E102">
        <f>IF(Sales!C102="East",Sales!H102,"")</f>
        <v/>
      </c>
      <c r="F102">
        <f>IF(Sales!C102="East",Sales!H102,"")</f>
        <v/>
      </c>
    </row>
    <row r="103">
      <c r="E103">
        <f>IF(Sales!C103="East",Sales!H103,"")</f>
        <v/>
      </c>
      <c r="F103">
        <f>IF(Sales!C103="East",Sales!H103,"")</f>
        <v/>
      </c>
    </row>
    <row r="104">
      <c r="E104">
        <f>IF(Sales!C104="East",Sales!H104,"")</f>
        <v/>
      </c>
      <c r="F104">
        <f>IF(Sales!C104="East",Sales!H104,"")</f>
        <v/>
      </c>
    </row>
    <row r="105">
      <c r="E105">
        <f>IF(Sales!C105="East",Sales!H105,"")</f>
        <v/>
      </c>
      <c r="F105">
        <f>IF(Sales!C105="East",Sales!H105,"")</f>
        <v/>
      </c>
    </row>
    <row r="106">
      <c r="E106">
        <f>IF(Sales!C106="East",Sales!H106,"")</f>
        <v/>
      </c>
      <c r="F106">
        <f>IF(Sales!C106="East",Sales!H106,"")</f>
        <v/>
      </c>
    </row>
    <row r="107">
      <c r="E107">
        <f>IF(Sales!C107="East",Sales!H107,"")</f>
        <v/>
      </c>
      <c r="F107">
        <f>IF(Sales!C107="East",Sales!H107,"")</f>
        <v/>
      </c>
    </row>
    <row r="108">
      <c r="E108">
        <f>IF(Sales!C108="East",Sales!H108,"")</f>
        <v/>
      </c>
      <c r="F108">
        <f>IF(Sales!C108="East",Sales!H108,"")</f>
        <v/>
      </c>
    </row>
    <row r="109">
      <c r="E109">
        <f>IF(Sales!C109="East",Sales!H109,"")</f>
        <v/>
      </c>
      <c r="F109">
        <f>IF(Sales!C109="East",Sales!H109,"")</f>
        <v/>
      </c>
    </row>
    <row r="110">
      <c r="E110">
        <f>IF(Sales!C110="East",Sales!H110,"")</f>
        <v/>
      </c>
      <c r="F110">
        <f>IF(Sales!C110="East",Sales!H110,"")</f>
        <v/>
      </c>
    </row>
    <row r="111">
      <c r="E111">
        <f>IF(Sales!C111="East",Sales!H111,"")</f>
        <v/>
      </c>
      <c r="F111">
        <f>IF(Sales!C111="East",Sales!H111,"")</f>
        <v/>
      </c>
    </row>
    <row r="112">
      <c r="E112">
        <f>IF(Sales!C112="East",Sales!H112,"")</f>
        <v/>
      </c>
      <c r="F112">
        <f>IF(Sales!C112="East",Sales!H112,"")</f>
        <v/>
      </c>
    </row>
    <row r="113">
      <c r="E113">
        <f>IF(Sales!C113="East",Sales!H113,"")</f>
        <v/>
      </c>
      <c r="F113">
        <f>IF(Sales!C113="East",Sales!H113,"")</f>
        <v/>
      </c>
    </row>
    <row r="114">
      <c r="E114">
        <f>IF(Sales!C114="East",Sales!H114,"")</f>
        <v/>
      </c>
      <c r="F114">
        <f>IF(Sales!C114="East",Sales!H114,"")</f>
        <v/>
      </c>
    </row>
    <row r="115">
      <c r="E115">
        <f>IF(Sales!C115="East",Sales!H115,"")</f>
        <v/>
      </c>
      <c r="F115">
        <f>IF(Sales!C115="East",Sales!H115,"")</f>
        <v/>
      </c>
    </row>
    <row r="116">
      <c r="E116">
        <f>IF(Sales!C116="East",Sales!H116,"")</f>
        <v/>
      </c>
      <c r="F116">
        <f>IF(Sales!C116="East",Sales!H116,"")</f>
        <v/>
      </c>
    </row>
    <row r="117">
      <c r="E117">
        <f>IF(Sales!C117="East",Sales!H117,"")</f>
        <v/>
      </c>
      <c r="F117">
        <f>IF(Sales!C117="East",Sales!H117,"")</f>
        <v/>
      </c>
    </row>
    <row r="118">
      <c r="E118">
        <f>IF(Sales!C118="East",Sales!H118,"")</f>
        <v/>
      </c>
      <c r="F118">
        <f>IF(Sales!C118="East",Sales!H118,"")</f>
        <v/>
      </c>
    </row>
    <row r="119">
      <c r="E119">
        <f>IF(Sales!C119="East",Sales!H119,"")</f>
        <v/>
      </c>
      <c r="F119">
        <f>IF(Sales!C119="East",Sales!H119,"")</f>
        <v/>
      </c>
    </row>
    <row r="120">
      <c r="E120">
        <f>IF(Sales!C120="East",Sales!H120,"")</f>
        <v/>
      </c>
      <c r="F120">
        <f>IF(Sales!C120="East",Sales!H120,"")</f>
        <v/>
      </c>
    </row>
    <row r="121">
      <c r="E121">
        <f>IF(Sales!C121="East",Sales!H121,"")</f>
        <v/>
      </c>
      <c r="F121">
        <f>IF(Sales!C121="East",Sales!H121,"")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52" customWidth="1" min="2" max="2"/>
    <col width="18" customWidth="1" min="3" max="3"/>
  </cols>
  <sheetData>
    <row r="1">
      <c r="A1" s="5" t="inlineStr">
        <is>
          <t>Logical Formula Examples</t>
        </is>
      </c>
    </row>
    <row r="3">
      <c r="A3" s="6" t="inlineStr">
        <is>
          <t>Formula</t>
        </is>
      </c>
      <c r="B3" s="6" t="inlineStr">
        <is>
          <t>Meaning</t>
        </is>
      </c>
      <c r="C3" s="6" t="inlineStr">
        <is>
          <t>Row 2 Result</t>
        </is>
      </c>
    </row>
    <row r="4">
      <c r="A4" t="inlineStr">
        <is>
          <t>=IF(Sales!H2&gt;15,"Bulk","Normal")</t>
        </is>
      </c>
      <c r="B4" t="inlineStr">
        <is>
          <t>Classifies an order by Units.</t>
        </is>
      </c>
      <c r="C4">
        <f>IF(Sales!H2&gt;15,"Bulk","Normal")</f>
        <v/>
      </c>
    </row>
    <row r="5">
      <c r="A5" t="inlineStr">
        <is>
          <t>=IF(AND(Sales!H2&gt;10,Sales!J2&gt;0),"Bulk Discount","")</t>
        </is>
      </c>
      <c r="B5" t="inlineStr">
        <is>
          <t>Requires more than 10 Units and a discount.</t>
        </is>
      </c>
      <c r="C5">
        <f>IF(AND(Sales!H2&gt;10,Sales!J2&gt;0),"Bulk Discount","")</f>
        <v/>
      </c>
    </row>
    <row r="6">
      <c r="A6" t="inlineStr">
        <is>
          <t>=IF(OR(Sales!C2="North",Sales!C2="South"),"N/S","E/W")</t>
        </is>
      </c>
      <c r="B6" t="inlineStr">
        <is>
          <t>Groups regions into North/South or East/West.</t>
        </is>
      </c>
      <c r="C6">
        <f>IF(OR(Sales!C2="North",Sales!C2="South"),"N/S","E/W")</f>
        <v/>
      </c>
    </row>
    <row r="7">
      <c r="A7" t="inlineStr">
        <is>
          <t>=IFS(Sales!H2&gt;20,"High",Sales!H2&gt;10,"Medium",TRUE,"Low")</t>
        </is>
      </c>
      <c r="B7" t="inlineStr">
        <is>
          <t>Uses nested IF because this Excel version may not support IFS.</t>
        </is>
      </c>
      <c r="C7">
        <f>IF(Sales!H2&gt;20,"High",IF(Sales!H2&gt;10,"Medium","Low"))</f>
        <v/>
      </c>
    </row>
    <row r="8">
      <c r="A8" t="inlineStr">
        <is>
          <t>=IF(Sales!H2&gt;20,"High",IF(Sales!H2&gt;10,"Medium","Low"))</t>
        </is>
      </c>
      <c r="B8" t="inlineStr">
        <is>
          <t>Compatibility alternative to IFS.</t>
        </is>
      </c>
      <c r="C8">
        <f>IF(Sales!H2&gt;20,"High",IF(Sales!H2&gt;10,"Medium","Low"))</f>
        <v/>
      </c>
    </row>
    <row r="9">
      <c r="A9" t="inlineStr">
        <is>
          <t>=SWITCH(Sales!E2,"Online",0.02,"Retail Store",0.05,"Partner",0.08)</t>
        </is>
      </c>
      <c r="B9" t="inlineStr">
        <is>
          <t>Uses nested IF because this Excel version may not support SWITCH.</t>
        </is>
      </c>
      <c r="C9">
        <f>IF(Sales!E2="Online",0.02,IF(Sales!E2="Retail Store",0.05,0.08))</f>
        <v/>
      </c>
    </row>
    <row r="10">
      <c r="A10" t="inlineStr">
        <is>
          <t>=IFERROR(Sales!H2/Sales!I2,0)</t>
        </is>
      </c>
      <c r="B10" t="inlineStr">
        <is>
          <t>Returns zero if the calculation errors.</t>
        </is>
      </c>
      <c r="C10">
        <f>IFERROR(Sales!H2/Sales!I2,0)</f>
        <v/>
      </c>
    </row>
    <row r="11">
      <c r="A11" t="inlineStr">
        <is>
          <t>=NOT(Sales!H2&gt;15)</t>
        </is>
      </c>
      <c r="B11" t="inlineStr">
        <is>
          <t>Reverses a TRUE/FALSE condition.</t>
        </is>
      </c>
      <c r="C11">
        <f>NOT(Sales!H2&gt;15)</f>
        <v/>
      </c>
    </row>
    <row r="12">
      <c r="A12" t="inlineStr">
        <is>
          <t>=XOR(Sales!C2="North",Sales!E2="Online")</t>
        </is>
      </c>
      <c r="B12" t="inlineStr">
        <is>
          <t>Uses IF/AND/OR because this Excel version may not support XOR.</t>
        </is>
      </c>
      <c r="C12">
        <f>IF(OR(AND(Sales!C2="North",Sales!E2&lt;&gt;"Online"),AND(Sales!C2&lt;&gt;"North",Sales!E2="Online")),TRUE,FALSE)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OrderID</t>
        </is>
      </c>
      <c r="B1" s="1" t="inlineStr">
        <is>
          <t>Units</t>
        </is>
      </c>
      <c r="C1" s="1" t="inlineStr">
        <is>
          <t>Discount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OrderSize</t>
        </is>
      </c>
      <c r="G1" s="1" t="inlineStr">
        <is>
          <t>BulkDiscount</t>
        </is>
      </c>
      <c r="H1" s="1" t="inlineStr">
        <is>
          <t>RegionGroup</t>
        </is>
      </c>
      <c r="I1" s="1" t="inlineStr">
        <is>
          <t>SizeUsingIF</t>
        </is>
      </c>
      <c r="J1" s="1" t="inlineStr">
        <is>
          <t>ChannelRate</t>
        </is>
      </c>
      <c r="K1" s="1" t="inlineStr">
        <is>
          <t>SafeRatio</t>
        </is>
      </c>
      <c r="L1" s="1" t="inlineStr">
        <is>
          <t>OneOfTwo</t>
        </is>
      </c>
    </row>
    <row r="2">
      <c r="A2">
        <f>Sales!A2</f>
        <v/>
      </c>
      <c r="B2">
        <f>Sales!H2</f>
        <v/>
      </c>
      <c r="C2" s="4">
        <f>Sales!J2</f>
        <v/>
      </c>
      <c r="D2">
        <f>Sales!C2</f>
        <v/>
      </c>
      <c r="E2">
        <f>Sales!E2</f>
        <v/>
      </c>
      <c r="F2">
        <f>IF(B2&gt;15,"Bulk","Normal")</f>
        <v/>
      </c>
      <c r="G2">
        <f>IF(AND(B2&gt;10,C2&gt;0),"Bulk Discount","")</f>
        <v/>
      </c>
      <c r="H2">
        <f>IF(OR(D2="North",D2="South"),"N/S","E/W")</f>
        <v/>
      </c>
      <c r="I2">
        <f>IF(B2&gt;20,"High",IF(B2&gt;10,"Medium","Low"))</f>
        <v/>
      </c>
      <c r="J2" s="4">
        <f>IF(E2="Online",0.02,IF(E2="Retail Store",0.05,0.08))</f>
        <v/>
      </c>
      <c r="K2" s="10">
        <f>IFERROR(B2/Sales!I2,0)</f>
        <v/>
      </c>
      <c r="L2">
        <f>IF(OR(AND(D2="North",E2&lt;&gt;"Online"),AND(D2&lt;&gt;"North",E2="Online")),TRUE,FALSE)</f>
        <v/>
      </c>
    </row>
    <row r="3">
      <c r="A3">
        <f>Sales!A3</f>
        <v/>
      </c>
      <c r="B3">
        <f>Sales!H3</f>
        <v/>
      </c>
      <c r="C3" s="4">
        <f>Sales!J3</f>
        <v/>
      </c>
      <c r="D3">
        <f>Sales!C3</f>
        <v/>
      </c>
      <c r="E3">
        <f>Sales!E3</f>
        <v/>
      </c>
      <c r="F3">
        <f>IF(B3&gt;15,"Bulk","Normal")</f>
        <v/>
      </c>
      <c r="G3">
        <f>IF(AND(B3&gt;10,C3&gt;0),"Bulk Discount","")</f>
        <v/>
      </c>
      <c r="H3">
        <f>IF(OR(D3="North",D3="South"),"N/S","E/W")</f>
        <v/>
      </c>
      <c r="I3">
        <f>IF(B3&gt;20,"High",IF(B3&gt;10,"Medium","Low"))</f>
        <v/>
      </c>
      <c r="J3" s="4">
        <f>IF(E3="Online",0.02,IF(E3="Retail Store",0.05,0.08))</f>
        <v/>
      </c>
      <c r="K3" s="10">
        <f>IFERROR(B3/Sales!I3,0)</f>
        <v/>
      </c>
      <c r="L3">
        <f>IF(OR(AND(D3="North",E3&lt;&gt;"Online"),AND(D3&lt;&gt;"North",E3="Online")),TRUE,FALSE)</f>
        <v/>
      </c>
    </row>
    <row r="4">
      <c r="A4">
        <f>Sales!A4</f>
        <v/>
      </c>
      <c r="B4">
        <f>Sales!H4</f>
        <v/>
      </c>
      <c r="C4" s="4">
        <f>Sales!J4</f>
        <v/>
      </c>
      <c r="D4">
        <f>Sales!C4</f>
        <v/>
      </c>
      <c r="E4">
        <f>Sales!E4</f>
        <v/>
      </c>
      <c r="F4">
        <f>IF(B4&gt;15,"Bulk","Normal")</f>
        <v/>
      </c>
      <c r="G4">
        <f>IF(AND(B4&gt;10,C4&gt;0),"Bulk Discount","")</f>
        <v/>
      </c>
      <c r="H4">
        <f>IF(OR(D4="North",D4="South"),"N/S","E/W")</f>
        <v/>
      </c>
      <c r="I4">
        <f>IF(B4&gt;20,"High",IF(B4&gt;10,"Medium","Low"))</f>
        <v/>
      </c>
      <c r="J4" s="4">
        <f>IF(E4="Online",0.02,IF(E4="Retail Store",0.05,0.08))</f>
        <v/>
      </c>
      <c r="K4" s="10">
        <f>IFERROR(B4/Sales!I4,0)</f>
        <v/>
      </c>
      <c r="L4">
        <f>IF(OR(AND(D4="North",E4&lt;&gt;"Online"),AND(D4&lt;&gt;"North",E4="Online")),TRUE,FALSE)</f>
        <v/>
      </c>
    </row>
    <row r="5">
      <c r="A5">
        <f>Sales!A5</f>
        <v/>
      </c>
      <c r="B5">
        <f>Sales!H5</f>
        <v/>
      </c>
      <c r="C5" s="4">
        <f>Sales!J5</f>
        <v/>
      </c>
      <c r="D5">
        <f>Sales!C5</f>
        <v/>
      </c>
      <c r="E5">
        <f>Sales!E5</f>
        <v/>
      </c>
      <c r="F5">
        <f>IF(B5&gt;15,"Bulk","Normal")</f>
        <v/>
      </c>
      <c r="G5">
        <f>IF(AND(B5&gt;10,C5&gt;0),"Bulk Discount","")</f>
        <v/>
      </c>
      <c r="H5">
        <f>IF(OR(D5="North",D5="South"),"N/S","E/W")</f>
        <v/>
      </c>
      <c r="I5">
        <f>IF(B5&gt;20,"High",IF(B5&gt;10,"Medium","Low"))</f>
        <v/>
      </c>
      <c r="J5" s="4">
        <f>IF(E5="Online",0.02,IF(E5="Retail Store",0.05,0.08))</f>
        <v/>
      </c>
      <c r="K5" s="10">
        <f>IFERROR(B5/Sales!I5,0)</f>
        <v/>
      </c>
      <c r="L5">
        <f>IF(OR(AND(D5="North",E5&lt;&gt;"Online"),AND(D5&lt;&gt;"North",E5="Online")),TRUE,FALSE)</f>
        <v/>
      </c>
    </row>
    <row r="6">
      <c r="A6">
        <f>Sales!A6</f>
        <v/>
      </c>
      <c r="B6">
        <f>Sales!H6</f>
        <v/>
      </c>
      <c r="C6" s="4">
        <f>Sales!J6</f>
        <v/>
      </c>
      <c r="D6">
        <f>Sales!C6</f>
        <v/>
      </c>
      <c r="E6">
        <f>Sales!E6</f>
        <v/>
      </c>
      <c r="F6">
        <f>IF(B6&gt;15,"Bulk","Normal")</f>
        <v/>
      </c>
      <c r="G6">
        <f>IF(AND(B6&gt;10,C6&gt;0),"Bulk Discount","")</f>
        <v/>
      </c>
      <c r="H6">
        <f>IF(OR(D6="North",D6="South"),"N/S","E/W")</f>
        <v/>
      </c>
      <c r="I6">
        <f>IF(B6&gt;20,"High",IF(B6&gt;10,"Medium","Low"))</f>
        <v/>
      </c>
      <c r="J6" s="4">
        <f>IF(E6="Online",0.02,IF(E6="Retail Store",0.05,0.08))</f>
        <v/>
      </c>
      <c r="K6" s="10">
        <f>IFERROR(B6/Sales!I6,0)</f>
        <v/>
      </c>
      <c r="L6">
        <f>IF(OR(AND(D6="North",E6&lt;&gt;"Online"),AND(D6&lt;&gt;"North",E6="Online")),TRUE,FALSE)</f>
        <v/>
      </c>
    </row>
    <row r="7">
      <c r="A7">
        <f>Sales!A7</f>
        <v/>
      </c>
      <c r="B7">
        <f>Sales!H7</f>
        <v/>
      </c>
      <c r="C7" s="4">
        <f>Sales!J7</f>
        <v/>
      </c>
      <c r="D7">
        <f>Sales!C7</f>
        <v/>
      </c>
      <c r="E7">
        <f>Sales!E7</f>
        <v/>
      </c>
      <c r="F7">
        <f>IF(B7&gt;15,"Bulk","Normal")</f>
        <v/>
      </c>
      <c r="G7">
        <f>IF(AND(B7&gt;10,C7&gt;0),"Bulk Discount","")</f>
        <v/>
      </c>
      <c r="H7">
        <f>IF(OR(D7="North",D7="South"),"N/S","E/W")</f>
        <v/>
      </c>
      <c r="I7">
        <f>IF(B7&gt;20,"High",IF(B7&gt;10,"Medium","Low"))</f>
        <v/>
      </c>
      <c r="J7" s="4">
        <f>IF(E7="Online",0.02,IF(E7="Retail Store",0.05,0.08))</f>
        <v/>
      </c>
      <c r="K7" s="10">
        <f>IFERROR(B7/Sales!I7,0)</f>
        <v/>
      </c>
      <c r="L7">
        <f>IF(OR(AND(D7="North",E7&lt;&gt;"Online"),AND(D7&lt;&gt;"North",E7="Online")),TRUE,FALSE)</f>
        <v/>
      </c>
    </row>
    <row r="8">
      <c r="A8">
        <f>Sales!A8</f>
        <v/>
      </c>
      <c r="B8">
        <f>Sales!H8</f>
        <v/>
      </c>
      <c r="C8" s="4">
        <f>Sales!J8</f>
        <v/>
      </c>
      <c r="D8">
        <f>Sales!C8</f>
        <v/>
      </c>
      <c r="E8">
        <f>Sales!E8</f>
        <v/>
      </c>
      <c r="F8">
        <f>IF(B8&gt;15,"Bulk","Normal")</f>
        <v/>
      </c>
      <c r="G8">
        <f>IF(AND(B8&gt;10,C8&gt;0),"Bulk Discount","")</f>
        <v/>
      </c>
      <c r="H8">
        <f>IF(OR(D8="North",D8="South"),"N/S","E/W")</f>
        <v/>
      </c>
      <c r="I8">
        <f>IF(B8&gt;20,"High",IF(B8&gt;10,"Medium","Low"))</f>
        <v/>
      </c>
      <c r="J8" s="4">
        <f>IF(E8="Online",0.02,IF(E8="Retail Store",0.05,0.08))</f>
        <v/>
      </c>
      <c r="K8" s="10">
        <f>IFERROR(B8/Sales!I8,0)</f>
        <v/>
      </c>
      <c r="L8">
        <f>IF(OR(AND(D8="North",E8&lt;&gt;"Online"),AND(D8&lt;&gt;"North",E8="Online")),TRUE,FALSE)</f>
        <v/>
      </c>
    </row>
    <row r="9">
      <c r="A9">
        <f>Sales!A9</f>
        <v/>
      </c>
      <c r="B9">
        <f>Sales!H9</f>
        <v/>
      </c>
      <c r="C9" s="4">
        <f>Sales!J9</f>
        <v/>
      </c>
      <c r="D9">
        <f>Sales!C9</f>
        <v/>
      </c>
      <c r="E9">
        <f>Sales!E9</f>
        <v/>
      </c>
      <c r="F9">
        <f>IF(B9&gt;15,"Bulk","Normal")</f>
        <v/>
      </c>
      <c r="G9">
        <f>IF(AND(B9&gt;10,C9&gt;0),"Bulk Discount","")</f>
        <v/>
      </c>
      <c r="H9">
        <f>IF(OR(D9="North",D9="South"),"N/S","E/W")</f>
        <v/>
      </c>
      <c r="I9">
        <f>IF(B9&gt;20,"High",IF(B9&gt;10,"Medium","Low"))</f>
        <v/>
      </c>
      <c r="J9" s="4">
        <f>IF(E9="Online",0.02,IF(E9="Retail Store",0.05,0.08))</f>
        <v/>
      </c>
      <c r="K9" s="10">
        <f>IFERROR(B9/Sales!I9,0)</f>
        <v/>
      </c>
      <c r="L9">
        <f>IF(OR(AND(D9="North",E9&lt;&gt;"Online"),AND(D9&lt;&gt;"North",E9="Online")),TRUE,FALSE)</f>
        <v/>
      </c>
    </row>
    <row r="10">
      <c r="A10">
        <f>Sales!A10</f>
        <v/>
      </c>
      <c r="B10">
        <f>Sales!H10</f>
        <v/>
      </c>
      <c r="C10" s="4">
        <f>Sales!J10</f>
        <v/>
      </c>
      <c r="D10">
        <f>Sales!C10</f>
        <v/>
      </c>
      <c r="E10">
        <f>Sales!E10</f>
        <v/>
      </c>
      <c r="F10">
        <f>IF(B10&gt;15,"Bulk","Normal")</f>
        <v/>
      </c>
      <c r="G10">
        <f>IF(AND(B10&gt;10,C10&gt;0),"Bulk Discount","")</f>
        <v/>
      </c>
      <c r="H10">
        <f>IF(OR(D10="North",D10="South"),"N/S","E/W")</f>
        <v/>
      </c>
      <c r="I10">
        <f>IF(B10&gt;20,"High",IF(B10&gt;10,"Medium","Low"))</f>
        <v/>
      </c>
      <c r="J10" s="4">
        <f>IF(E10="Online",0.02,IF(E10="Retail Store",0.05,0.08))</f>
        <v/>
      </c>
      <c r="K10" s="10">
        <f>IFERROR(B10/Sales!I10,0)</f>
        <v/>
      </c>
      <c r="L10">
        <f>IF(OR(AND(D10="North",E10&lt;&gt;"Online"),AND(D10&lt;&gt;"North",E10="Online")),TRUE,FALSE)</f>
        <v/>
      </c>
    </row>
    <row r="11">
      <c r="A11">
        <f>Sales!A11</f>
        <v/>
      </c>
      <c r="B11">
        <f>Sales!H11</f>
        <v/>
      </c>
      <c r="C11" s="4">
        <f>Sales!J11</f>
        <v/>
      </c>
      <c r="D11">
        <f>Sales!C11</f>
        <v/>
      </c>
      <c r="E11">
        <f>Sales!E11</f>
        <v/>
      </c>
      <c r="F11">
        <f>IF(B11&gt;15,"Bulk","Normal")</f>
        <v/>
      </c>
      <c r="G11">
        <f>IF(AND(B11&gt;10,C11&gt;0),"Bulk Discount","")</f>
        <v/>
      </c>
      <c r="H11">
        <f>IF(OR(D11="North",D11="South"),"N/S","E/W")</f>
        <v/>
      </c>
      <c r="I11">
        <f>IF(B11&gt;20,"High",IF(B11&gt;10,"Medium","Low"))</f>
        <v/>
      </c>
      <c r="J11" s="4">
        <f>IF(E11="Online",0.02,IF(E11="Retail Store",0.05,0.08))</f>
        <v/>
      </c>
      <c r="K11" s="10">
        <f>IFERROR(B11/Sales!I11,0)</f>
        <v/>
      </c>
      <c r="L11">
        <f>IF(OR(AND(D11="North",E11&lt;&gt;"Online"),AND(D11&lt;&gt;"North",E11="Online")),TRUE,FALSE)</f>
        <v/>
      </c>
    </row>
    <row r="12">
      <c r="A12">
        <f>Sales!A12</f>
        <v/>
      </c>
      <c r="B12">
        <f>Sales!H12</f>
        <v/>
      </c>
      <c r="C12" s="4">
        <f>Sales!J12</f>
        <v/>
      </c>
      <c r="D12">
        <f>Sales!C12</f>
        <v/>
      </c>
      <c r="E12">
        <f>Sales!E12</f>
        <v/>
      </c>
      <c r="F12">
        <f>IF(B12&gt;15,"Bulk","Normal")</f>
        <v/>
      </c>
      <c r="G12">
        <f>IF(AND(B12&gt;10,C12&gt;0),"Bulk Discount","")</f>
        <v/>
      </c>
      <c r="H12">
        <f>IF(OR(D12="North",D12="South"),"N/S","E/W")</f>
        <v/>
      </c>
      <c r="I12">
        <f>IF(B12&gt;20,"High",IF(B12&gt;10,"Medium","Low"))</f>
        <v/>
      </c>
      <c r="J12" s="4">
        <f>IF(E12="Online",0.02,IF(E12="Retail Store",0.05,0.08))</f>
        <v/>
      </c>
      <c r="K12" s="10">
        <f>IFERROR(B12/Sales!I12,0)</f>
        <v/>
      </c>
      <c r="L12">
        <f>IF(OR(AND(D12="North",E12&lt;&gt;"Online"),AND(D12&lt;&gt;"North",E12="Online")),TRUE,FALSE)</f>
        <v/>
      </c>
    </row>
    <row r="13">
      <c r="A13">
        <f>Sales!A13</f>
        <v/>
      </c>
      <c r="B13">
        <f>Sales!H13</f>
        <v/>
      </c>
      <c r="C13" s="4">
        <f>Sales!J13</f>
        <v/>
      </c>
      <c r="D13">
        <f>Sales!C13</f>
        <v/>
      </c>
      <c r="E13">
        <f>Sales!E13</f>
        <v/>
      </c>
      <c r="F13">
        <f>IF(B13&gt;15,"Bulk","Normal")</f>
        <v/>
      </c>
      <c r="G13">
        <f>IF(AND(B13&gt;10,C13&gt;0),"Bulk Discount","")</f>
        <v/>
      </c>
      <c r="H13">
        <f>IF(OR(D13="North",D13="South"),"N/S","E/W")</f>
        <v/>
      </c>
      <c r="I13">
        <f>IF(B13&gt;20,"High",IF(B13&gt;10,"Medium","Low"))</f>
        <v/>
      </c>
      <c r="J13" s="4">
        <f>IF(E13="Online",0.02,IF(E13="Retail Store",0.05,0.08))</f>
        <v/>
      </c>
      <c r="K13" s="10">
        <f>IFERROR(B13/Sales!I13,0)</f>
        <v/>
      </c>
      <c r="L13">
        <f>IF(OR(AND(D13="North",E13&lt;&gt;"Online"),AND(D13&lt;&gt;"North",E13="Online")),TRUE,FALSE)</f>
        <v/>
      </c>
    </row>
    <row r="14">
      <c r="A14">
        <f>Sales!A14</f>
        <v/>
      </c>
      <c r="B14">
        <f>Sales!H14</f>
        <v/>
      </c>
      <c r="C14" s="4">
        <f>Sales!J14</f>
        <v/>
      </c>
      <c r="D14">
        <f>Sales!C14</f>
        <v/>
      </c>
      <c r="E14">
        <f>Sales!E14</f>
        <v/>
      </c>
      <c r="F14">
        <f>IF(B14&gt;15,"Bulk","Normal")</f>
        <v/>
      </c>
      <c r="G14">
        <f>IF(AND(B14&gt;10,C14&gt;0),"Bulk Discount","")</f>
        <v/>
      </c>
      <c r="H14">
        <f>IF(OR(D14="North",D14="South"),"N/S","E/W")</f>
        <v/>
      </c>
      <c r="I14">
        <f>IF(B14&gt;20,"High",IF(B14&gt;10,"Medium","Low"))</f>
        <v/>
      </c>
      <c r="J14" s="4">
        <f>IF(E14="Online",0.02,IF(E14="Retail Store",0.05,0.08))</f>
        <v/>
      </c>
      <c r="K14" s="10">
        <f>IFERROR(B14/Sales!I14,0)</f>
        <v/>
      </c>
      <c r="L14">
        <f>IF(OR(AND(D14="North",E14&lt;&gt;"Online"),AND(D14&lt;&gt;"North",E14="Online")),TRUE,FALSE)</f>
        <v/>
      </c>
    </row>
    <row r="15">
      <c r="A15">
        <f>Sales!A15</f>
        <v/>
      </c>
      <c r="B15">
        <f>Sales!H15</f>
        <v/>
      </c>
      <c r="C15" s="4">
        <f>Sales!J15</f>
        <v/>
      </c>
      <c r="D15">
        <f>Sales!C15</f>
        <v/>
      </c>
      <c r="E15">
        <f>Sales!E15</f>
        <v/>
      </c>
      <c r="F15">
        <f>IF(B15&gt;15,"Bulk","Normal")</f>
        <v/>
      </c>
      <c r="G15">
        <f>IF(AND(B15&gt;10,C15&gt;0),"Bulk Discount","")</f>
        <v/>
      </c>
      <c r="H15">
        <f>IF(OR(D15="North",D15="South"),"N/S","E/W")</f>
        <v/>
      </c>
      <c r="I15">
        <f>IF(B15&gt;20,"High",IF(B15&gt;10,"Medium","Low"))</f>
        <v/>
      </c>
      <c r="J15" s="4">
        <f>IF(E15="Online",0.02,IF(E15="Retail Store",0.05,0.08))</f>
        <v/>
      </c>
      <c r="K15" s="10">
        <f>IFERROR(B15/Sales!I15,0)</f>
        <v/>
      </c>
      <c r="L15">
        <f>IF(OR(AND(D15="North",E15&lt;&gt;"Online"),AND(D15&lt;&gt;"North",E15="Online")),TRUE,FALSE)</f>
        <v/>
      </c>
    </row>
    <row r="16">
      <c r="A16">
        <f>Sales!A16</f>
        <v/>
      </c>
      <c r="B16">
        <f>Sales!H16</f>
        <v/>
      </c>
      <c r="C16" s="4">
        <f>Sales!J16</f>
        <v/>
      </c>
      <c r="D16">
        <f>Sales!C16</f>
        <v/>
      </c>
      <c r="E16">
        <f>Sales!E16</f>
        <v/>
      </c>
      <c r="F16">
        <f>IF(B16&gt;15,"Bulk","Normal")</f>
        <v/>
      </c>
      <c r="G16">
        <f>IF(AND(B16&gt;10,C16&gt;0),"Bulk Discount","")</f>
        <v/>
      </c>
      <c r="H16">
        <f>IF(OR(D16="North",D16="South"),"N/S","E/W")</f>
        <v/>
      </c>
      <c r="I16">
        <f>IF(B16&gt;20,"High",IF(B16&gt;10,"Medium","Low"))</f>
        <v/>
      </c>
      <c r="J16" s="4">
        <f>IF(E16="Online",0.02,IF(E16="Retail Store",0.05,0.08))</f>
        <v/>
      </c>
      <c r="K16" s="10">
        <f>IFERROR(B16/Sales!I16,0)</f>
        <v/>
      </c>
      <c r="L16">
        <f>IF(OR(AND(D16="North",E16&lt;&gt;"Online"),AND(D16&lt;&gt;"North",E16="Online")),TRUE,FALSE)</f>
        <v/>
      </c>
    </row>
    <row r="17">
      <c r="A17">
        <f>Sales!A17</f>
        <v/>
      </c>
      <c r="B17">
        <f>Sales!H17</f>
        <v/>
      </c>
      <c r="C17" s="4">
        <f>Sales!J17</f>
        <v/>
      </c>
      <c r="D17">
        <f>Sales!C17</f>
        <v/>
      </c>
      <c r="E17">
        <f>Sales!E17</f>
        <v/>
      </c>
      <c r="F17">
        <f>IF(B17&gt;15,"Bulk","Normal")</f>
        <v/>
      </c>
      <c r="G17">
        <f>IF(AND(B17&gt;10,C17&gt;0),"Bulk Discount","")</f>
        <v/>
      </c>
      <c r="H17">
        <f>IF(OR(D17="North",D17="South"),"N/S","E/W")</f>
        <v/>
      </c>
      <c r="I17">
        <f>IF(B17&gt;20,"High",IF(B17&gt;10,"Medium","Low"))</f>
        <v/>
      </c>
      <c r="J17" s="4">
        <f>IF(E17="Online",0.02,IF(E17="Retail Store",0.05,0.08))</f>
        <v/>
      </c>
      <c r="K17" s="10">
        <f>IFERROR(B17/Sales!I17,0)</f>
        <v/>
      </c>
      <c r="L17">
        <f>IF(OR(AND(D17="North",E17&lt;&gt;"Online"),AND(D17&lt;&gt;"North",E17="Online")),TRUE,FALSE)</f>
        <v/>
      </c>
    </row>
    <row r="18">
      <c r="A18">
        <f>Sales!A18</f>
        <v/>
      </c>
      <c r="B18">
        <f>Sales!H18</f>
        <v/>
      </c>
      <c r="C18" s="4">
        <f>Sales!J18</f>
        <v/>
      </c>
      <c r="D18">
        <f>Sales!C18</f>
        <v/>
      </c>
      <c r="E18">
        <f>Sales!E18</f>
        <v/>
      </c>
      <c r="F18">
        <f>IF(B18&gt;15,"Bulk","Normal")</f>
        <v/>
      </c>
      <c r="G18">
        <f>IF(AND(B18&gt;10,C18&gt;0),"Bulk Discount","")</f>
        <v/>
      </c>
      <c r="H18">
        <f>IF(OR(D18="North",D18="South"),"N/S","E/W")</f>
        <v/>
      </c>
      <c r="I18">
        <f>IF(B18&gt;20,"High",IF(B18&gt;10,"Medium","Low"))</f>
        <v/>
      </c>
      <c r="J18" s="4">
        <f>IF(E18="Online",0.02,IF(E18="Retail Store",0.05,0.08))</f>
        <v/>
      </c>
      <c r="K18" s="10">
        <f>IFERROR(B18/Sales!I18,0)</f>
        <v/>
      </c>
      <c r="L18">
        <f>IF(OR(AND(D18="North",E18&lt;&gt;"Online"),AND(D18&lt;&gt;"North",E18="Online")),TRUE,FALSE)</f>
        <v/>
      </c>
    </row>
    <row r="19">
      <c r="A19">
        <f>Sales!A19</f>
        <v/>
      </c>
      <c r="B19">
        <f>Sales!H19</f>
        <v/>
      </c>
      <c r="C19" s="4">
        <f>Sales!J19</f>
        <v/>
      </c>
      <c r="D19">
        <f>Sales!C19</f>
        <v/>
      </c>
      <c r="E19">
        <f>Sales!E19</f>
        <v/>
      </c>
      <c r="F19">
        <f>IF(B19&gt;15,"Bulk","Normal")</f>
        <v/>
      </c>
      <c r="G19">
        <f>IF(AND(B19&gt;10,C19&gt;0),"Bulk Discount","")</f>
        <v/>
      </c>
      <c r="H19">
        <f>IF(OR(D19="North",D19="South"),"N/S","E/W")</f>
        <v/>
      </c>
      <c r="I19">
        <f>IF(B19&gt;20,"High",IF(B19&gt;10,"Medium","Low"))</f>
        <v/>
      </c>
      <c r="J19" s="4">
        <f>IF(E19="Online",0.02,IF(E19="Retail Store",0.05,0.08))</f>
        <v/>
      </c>
      <c r="K19" s="10">
        <f>IFERROR(B19/Sales!I19,0)</f>
        <v/>
      </c>
      <c r="L19">
        <f>IF(OR(AND(D19="North",E19&lt;&gt;"Online"),AND(D19&lt;&gt;"North",E19="Online")),TRUE,FALSE)</f>
        <v/>
      </c>
    </row>
    <row r="20">
      <c r="A20">
        <f>Sales!A20</f>
        <v/>
      </c>
      <c r="B20">
        <f>Sales!H20</f>
        <v/>
      </c>
      <c r="C20" s="4">
        <f>Sales!J20</f>
        <v/>
      </c>
      <c r="D20">
        <f>Sales!C20</f>
        <v/>
      </c>
      <c r="E20">
        <f>Sales!E20</f>
        <v/>
      </c>
      <c r="F20">
        <f>IF(B20&gt;15,"Bulk","Normal")</f>
        <v/>
      </c>
      <c r="G20">
        <f>IF(AND(B20&gt;10,C20&gt;0),"Bulk Discount","")</f>
        <v/>
      </c>
      <c r="H20">
        <f>IF(OR(D20="North",D20="South"),"N/S","E/W")</f>
        <v/>
      </c>
      <c r="I20">
        <f>IF(B20&gt;20,"High",IF(B20&gt;10,"Medium","Low"))</f>
        <v/>
      </c>
      <c r="J20" s="4">
        <f>IF(E20="Online",0.02,IF(E20="Retail Store",0.05,0.08))</f>
        <v/>
      </c>
      <c r="K20" s="10">
        <f>IFERROR(B20/Sales!I20,0)</f>
        <v/>
      </c>
      <c r="L20">
        <f>IF(OR(AND(D20="North",E20&lt;&gt;"Online"),AND(D20&lt;&gt;"North",E20="Online")),TRUE,FALSE)</f>
        <v/>
      </c>
    </row>
    <row r="21">
      <c r="A21">
        <f>Sales!A21</f>
        <v/>
      </c>
      <c r="B21">
        <f>Sales!H21</f>
        <v/>
      </c>
      <c r="C21" s="4">
        <f>Sales!J21</f>
        <v/>
      </c>
      <c r="D21">
        <f>Sales!C21</f>
        <v/>
      </c>
      <c r="E21">
        <f>Sales!E21</f>
        <v/>
      </c>
      <c r="F21">
        <f>IF(B21&gt;15,"Bulk","Normal")</f>
        <v/>
      </c>
      <c r="G21">
        <f>IF(AND(B21&gt;10,C21&gt;0),"Bulk Discount","")</f>
        <v/>
      </c>
      <c r="H21">
        <f>IF(OR(D21="North",D21="South"),"N/S","E/W")</f>
        <v/>
      </c>
      <c r="I21">
        <f>IF(B21&gt;20,"High",IF(B21&gt;10,"Medium","Low"))</f>
        <v/>
      </c>
      <c r="J21" s="4">
        <f>IF(E21="Online",0.02,IF(E21="Retail Store",0.05,0.08))</f>
        <v/>
      </c>
      <c r="K21" s="10">
        <f>IFERROR(B21/Sales!I21,0)</f>
        <v/>
      </c>
      <c r="L21">
        <f>IF(OR(AND(D21="North",E21&lt;&gt;"Online"),AND(D21&lt;&gt;"North",E21="Online")),TRUE,FALSE)</f>
        <v/>
      </c>
    </row>
    <row r="22">
      <c r="A22">
        <f>Sales!A22</f>
        <v/>
      </c>
      <c r="B22">
        <f>Sales!H22</f>
        <v/>
      </c>
      <c r="C22" s="4">
        <f>Sales!J22</f>
        <v/>
      </c>
      <c r="D22">
        <f>Sales!C22</f>
        <v/>
      </c>
      <c r="E22">
        <f>Sales!E22</f>
        <v/>
      </c>
      <c r="F22">
        <f>IF(B22&gt;15,"Bulk","Normal")</f>
        <v/>
      </c>
      <c r="G22">
        <f>IF(AND(B22&gt;10,C22&gt;0),"Bulk Discount","")</f>
        <v/>
      </c>
      <c r="H22">
        <f>IF(OR(D22="North",D22="South"),"N/S","E/W")</f>
        <v/>
      </c>
      <c r="I22">
        <f>IF(B22&gt;20,"High",IF(B22&gt;10,"Medium","Low"))</f>
        <v/>
      </c>
      <c r="J22" s="4">
        <f>IF(E22="Online",0.02,IF(E22="Retail Store",0.05,0.08))</f>
        <v/>
      </c>
      <c r="K22" s="10">
        <f>IFERROR(B22/Sales!I22,0)</f>
        <v/>
      </c>
      <c r="L22">
        <f>IF(OR(AND(D22="North",E22&lt;&gt;"Online"),AND(D22&lt;&gt;"North",E22="Online")),TRUE,FALSE)</f>
        <v/>
      </c>
    </row>
    <row r="23">
      <c r="A23">
        <f>Sales!A23</f>
        <v/>
      </c>
      <c r="B23">
        <f>Sales!H23</f>
        <v/>
      </c>
      <c r="C23" s="4">
        <f>Sales!J23</f>
        <v/>
      </c>
      <c r="D23">
        <f>Sales!C23</f>
        <v/>
      </c>
      <c r="E23">
        <f>Sales!E23</f>
        <v/>
      </c>
      <c r="F23">
        <f>IF(B23&gt;15,"Bulk","Normal")</f>
        <v/>
      </c>
      <c r="G23">
        <f>IF(AND(B23&gt;10,C23&gt;0),"Bulk Discount","")</f>
        <v/>
      </c>
      <c r="H23">
        <f>IF(OR(D23="North",D23="South"),"N/S","E/W")</f>
        <v/>
      </c>
      <c r="I23">
        <f>IF(B23&gt;20,"High",IF(B23&gt;10,"Medium","Low"))</f>
        <v/>
      </c>
      <c r="J23" s="4">
        <f>IF(E23="Online",0.02,IF(E23="Retail Store",0.05,0.08))</f>
        <v/>
      </c>
      <c r="K23" s="10">
        <f>IFERROR(B23/Sales!I23,0)</f>
        <v/>
      </c>
      <c r="L23">
        <f>IF(OR(AND(D23="North",E23&lt;&gt;"Online"),AND(D23&lt;&gt;"North",E23="Online")),TRUE,FALSE)</f>
        <v/>
      </c>
    </row>
    <row r="24">
      <c r="A24">
        <f>Sales!A24</f>
        <v/>
      </c>
      <c r="B24">
        <f>Sales!H24</f>
        <v/>
      </c>
      <c r="C24" s="4">
        <f>Sales!J24</f>
        <v/>
      </c>
      <c r="D24">
        <f>Sales!C24</f>
        <v/>
      </c>
      <c r="E24">
        <f>Sales!E24</f>
        <v/>
      </c>
      <c r="F24">
        <f>IF(B24&gt;15,"Bulk","Normal")</f>
        <v/>
      </c>
      <c r="G24">
        <f>IF(AND(B24&gt;10,C24&gt;0),"Bulk Discount","")</f>
        <v/>
      </c>
      <c r="H24">
        <f>IF(OR(D24="North",D24="South"),"N/S","E/W")</f>
        <v/>
      </c>
      <c r="I24">
        <f>IF(B24&gt;20,"High",IF(B24&gt;10,"Medium","Low"))</f>
        <v/>
      </c>
      <c r="J24" s="4">
        <f>IF(E24="Online",0.02,IF(E24="Retail Store",0.05,0.08))</f>
        <v/>
      </c>
      <c r="K24" s="10">
        <f>IFERROR(B24/Sales!I24,0)</f>
        <v/>
      </c>
      <c r="L24">
        <f>IF(OR(AND(D24="North",E24&lt;&gt;"Online"),AND(D24&lt;&gt;"North",E24="Online")),TRUE,FALSE)</f>
        <v/>
      </c>
    </row>
    <row r="25">
      <c r="A25">
        <f>Sales!A25</f>
        <v/>
      </c>
      <c r="B25">
        <f>Sales!H25</f>
        <v/>
      </c>
      <c r="C25" s="4">
        <f>Sales!J25</f>
        <v/>
      </c>
      <c r="D25">
        <f>Sales!C25</f>
        <v/>
      </c>
      <c r="E25">
        <f>Sales!E25</f>
        <v/>
      </c>
      <c r="F25">
        <f>IF(B25&gt;15,"Bulk","Normal")</f>
        <v/>
      </c>
      <c r="G25">
        <f>IF(AND(B25&gt;10,C25&gt;0),"Bulk Discount","")</f>
        <v/>
      </c>
      <c r="H25">
        <f>IF(OR(D25="North",D25="South"),"N/S","E/W")</f>
        <v/>
      </c>
      <c r="I25">
        <f>IF(B25&gt;20,"High",IF(B25&gt;10,"Medium","Low"))</f>
        <v/>
      </c>
      <c r="J25" s="4">
        <f>IF(E25="Online",0.02,IF(E25="Retail Store",0.05,0.08))</f>
        <v/>
      </c>
      <c r="K25" s="10">
        <f>IFERROR(B25/Sales!I25,0)</f>
        <v/>
      </c>
      <c r="L25">
        <f>IF(OR(AND(D25="North",E25&lt;&gt;"Online"),AND(D25&lt;&gt;"North",E25="Online")),TRUE,FALSE)</f>
        <v/>
      </c>
    </row>
    <row r="26">
      <c r="A26">
        <f>Sales!A26</f>
        <v/>
      </c>
      <c r="B26">
        <f>Sales!H26</f>
        <v/>
      </c>
      <c r="C26" s="4">
        <f>Sales!J26</f>
        <v/>
      </c>
      <c r="D26">
        <f>Sales!C26</f>
        <v/>
      </c>
      <c r="E26">
        <f>Sales!E26</f>
        <v/>
      </c>
      <c r="F26">
        <f>IF(B26&gt;15,"Bulk","Normal")</f>
        <v/>
      </c>
      <c r="G26">
        <f>IF(AND(B26&gt;10,C26&gt;0),"Bulk Discount","")</f>
        <v/>
      </c>
      <c r="H26">
        <f>IF(OR(D26="North",D26="South"),"N/S","E/W")</f>
        <v/>
      </c>
      <c r="I26">
        <f>IF(B26&gt;20,"High",IF(B26&gt;10,"Medium","Low"))</f>
        <v/>
      </c>
      <c r="J26" s="4">
        <f>IF(E26="Online",0.02,IF(E26="Retail Store",0.05,0.08))</f>
        <v/>
      </c>
      <c r="K26" s="10">
        <f>IFERROR(B26/Sales!I26,0)</f>
        <v/>
      </c>
      <c r="L26">
        <f>IF(OR(AND(D26="North",E26&lt;&gt;"Online"),AND(D26&lt;&gt;"North",E26="Online")),TRUE,FALSE)</f>
        <v/>
      </c>
    </row>
    <row r="27">
      <c r="A27">
        <f>Sales!A27</f>
        <v/>
      </c>
      <c r="B27">
        <f>Sales!H27</f>
        <v/>
      </c>
      <c r="C27" s="4">
        <f>Sales!J27</f>
        <v/>
      </c>
      <c r="D27">
        <f>Sales!C27</f>
        <v/>
      </c>
      <c r="E27">
        <f>Sales!E27</f>
        <v/>
      </c>
      <c r="F27">
        <f>IF(B27&gt;15,"Bulk","Normal")</f>
        <v/>
      </c>
      <c r="G27">
        <f>IF(AND(B27&gt;10,C27&gt;0),"Bulk Discount","")</f>
        <v/>
      </c>
      <c r="H27">
        <f>IF(OR(D27="North",D27="South"),"N/S","E/W")</f>
        <v/>
      </c>
      <c r="I27">
        <f>IF(B27&gt;20,"High",IF(B27&gt;10,"Medium","Low"))</f>
        <v/>
      </c>
      <c r="J27" s="4">
        <f>IF(E27="Online",0.02,IF(E27="Retail Store",0.05,0.08))</f>
        <v/>
      </c>
      <c r="K27" s="10">
        <f>IFERROR(B27/Sales!I27,0)</f>
        <v/>
      </c>
      <c r="L27">
        <f>IF(OR(AND(D27="North",E27&lt;&gt;"Online"),AND(D27&lt;&gt;"North",E27="Online")),TRUE,FALSE)</f>
        <v/>
      </c>
    </row>
    <row r="28">
      <c r="A28">
        <f>Sales!A28</f>
        <v/>
      </c>
      <c r="B28">
        <f>Sales!H28</f>
        <v/>
      </c>
      <c r="C28" s="4">
        <f>Sales!J28</f>
        <v/>
      </c>
      <c r="D28">
        <f>Sales!C28</f>
        <v/>
      </c>
      <c r="E28">
        <f>Sales!E28</f>
        <v/>
      </c>
      <c r="F28">
        <f>IF(B28&gt;15,"Bulk","Normal")</f>
        <v/>
      </c>
      <c r="G28">
        <f>IF(AND(B28&gt;10,C28&gt;0),"Bulk Discount","")</f>
        <v/>
      </c>
      <c r="H28">
        <f>IF(OR(D28="North",D28="South"),"N/S","E/W")</f>
        <v/>
      </c>
      <c r="I28">
        <f>IF(B28&gt;20,"High",IF(B28&gt;10,"Medium","Low"))</f>
        <v/>
      </c>
      <c r="J28" s="4">
        <f>IF(E28="Online",0.02,IF(E28="Retail Store",0.05,0.08))</f>
        <v/>
      </c>
      <c r="K28" s="10">
        <f>IFERROR(B28/Sales!I28,0)</f>
        <v/>
      </c>
      <c r="L28">
        <f>IF(OR(AND(D28="North",E28&lt;&gt;"Online"),AND(D28&lt;&gt;"North",E28="Online")),TRUE,FALSE)</f>
        <v/>
      </c>
    </row>
    <row r="29">
      <c r="A29">
        <f>Sales!A29</f>
        <v/>
      </c>
      <c r="B29">
        <f>Sales!H29</f>
        <v/>
      </c>
      <c r="C29" s="4">
        <f>Sales!J29</f>
        <v/>
      </c>
      <c r="D29">
        <f>Sales!C29</f>
        <v/>
      </c>
      <c r="E29">
        <f>Sales!E29</f>
        <v/>
      </c>
      <c r="F29">
        <f>IF(B29&gt;15,"Bulk","Normal")</f>
        <v/>
      </c>
      <c r="G29">
        <f>IF(AND(B29&gt;10,C29&gt;0),"Bulk Discount","")</f>
        <v/>
      </c>
      <c r="H29">
        <f>IF(OR(D29="North",D29="South"),"N/S","E/W")</f>
        <v/>
      </c>
      <c r="I29">
        <f>IF(B29&gt;20,"High",IF(B29&gt;10,"Medium","Low"))</f>
        <v/>
      </c>
      <c r="J29" s="4">
        <f>IF(E29="Online",0.02,IF(E29="Retail Store",0.05,0.08))</f>
        <v/>
      </c>
      <c r="K29" s="10">
        <f>IFERROR(B29/Sales!I29,0)</f>
        <v/>
      </c>
      <c r="L29">
        <f>IF(OR(AND(D29="North",E29&lt;&gt;"Online"),AND(D29&lt;&gt;"North",E29="Online")),TRUE,FALSE)</f>
        <v/>
      </c>
    </row>
    <row r="30">
      <c r="A30">
        <f>Sales!A30</f>
        <v/>
      </c>
      <c r="B30">
        <f>Sales!H30</f>
        <v/>
      </c>
      <c r="C30" s="4">
        <f>Sales!J30</f>
        <v/>
      </c>
      <c r="D30">
        <f>Sales!C30</f>
        <v/>
      </c>
      <c r="E30">
        <f>Sales!E30</f>
        <v/>
      </c>
      <c r="F30">
        <f>IF(B30&gt;15,"Bulk","Normal")</f>
        <v/>
      </c>
      <c r="G30">
        <f>IF(AND(B30&gt;10,C30&gt;0),"Bulk Discount","")</f>
        <v/>
      </c>
      <c r="H30">
        <f>IF(OR(D30="North",D30="South"),"N/S","E/W")</f>
        <v/>
      </c>
      <c r="I30">
        <f>IF(B30&gt;20,"High",IF(B30&gt;10,"Medium","Low"))</f>
        <v/>
      </c>
      <c r="J30" s="4">
        <f>IF(E30="Online",0.02,IF(E30="Retail Store",0.05,0.08))</f>
        <v/>
      </c>
      <c r="K30" s="10">
        <f>IFERROR(B30/Sales!I30,0)</f>
        <v/>
      </c>
      <c r="L30">
        <f>IF(OR(AND(D30="North",E30&lt;&gt;"Online"),AND(D30&lt;&gt;"North",E30="Online")),TRUE,FALSE)</f>
        <v/>
      </c>
    </row>
    <row r="31">
      <c r="A31">
        <f>Sales!A31</f>
        <v/>
      </c>
      <c r="B31">
        <f>Sales!H31</f>
        <v/>
      </c>
      <c r="C31" s="4">
        <f>Sales!J31</f>
        <v/>
      </c>
      <c r="D31">
        <f>Sales!C31</f>
        <v/>
      </c>
      <c r="E31">
        <f>Sales!E31</f>
        <v/>
      </c>
      <c r="F31">
        <f>IF(B31&gt;15,"Bulk","Normal")</f>
        <v/>
      </c>
      <c r="G31">
        <f>IF(AND(B31&gt;10,C31&gt;0),"Bulk Discount","")</f>
        <v/>
      </c>
      <c r="H31">
        <f>IF(OR(D31="North",D31="South"),"N/S","E/W")</f>
        <v/>
      </c>
      <c r="I31">
        <f>IF(B31&gt;20,"High",IF(B31&gt;10,"Medium","Low"))</f>
        <v/>
      </c>
      <c r="J31" s="4">
        <f>IF(E31="Online",0.02,IF(E31="Retail Store",0.05,0.08))</f>
        <v/>
      </c>
      <c r="K31" s="10">
        <f>IFERROR(B31/Sales!I31,0)</f>
        <v/>
      </c>
      <c r="L31">
        <f>IF(OR(AND(D31="North",E31&lt;&gt;"Online"),AND(D31&lt;&gt;"North",E31="Online")),TRUE,FALSE)</f>
        <v/>
      </c>
    </row>
    <row r="32">
      <c r="A32">
        <f>Sales!A32</f>
        <v/>
      </c>
      <c r="B32">
        <f>Sales!H32</f>
        <v/>
      </c>
      <c r="C32" s="4">
        <f>Sales!J32</f>
        <v/>
      </c>
      <c r="D32">
        <f>Sales!C32</f>
        <v/>
      </c>
      <c r="E32">
        <f>Sales!E32</f>
        <v/>
      </c>
      <c r="F32">
        <f>IF(B32&gt;15,"Bulk","Normal")</f>
        <v/>
      </c>
      <c r="G32">
        <f>IF(AND(B32&gt;10,C32&gt;0),"Bulk Discount","")</f>
        <v/>
      </c>
      <c r="H32">
        <f>IF(OR(D32="North",D32="South"),"N/S","E/W")</f>
        <v/>
      </c>
      <c r="I32">
        <f>IF(B32&gt;20,"High",IF(B32&gt;10,"Medium","Low"))</f>
        <v/>
      </c>
      <c r="J32" s="4">
        <f>IF(E32="Online",0.02,IF(E32="Retail Store",0.05,0.08))</f>
        <v/>
      </c>
      <c r="K32" s="10">
        <f>IFERROR(B32/Sales!I32,0)</f>
        <v/>
      </c>
      <c r="L32">
        <f>IF(OR(AND(D32="North",E32&lt;&gt;"Online"),AND(D32&lt;&gt;"North",E32="Online")),TRUE,FALSE)</f>
        <v/>
      </c>
    </row>
    <row r="33">
      <c r="A33">
        <f>Sales!A33</f>
        <v/>
      </c>
      <c r="B33">
        <f>Sales!H33</f>
        <v/>
      </c>
      <c r="C33" s="4">
        <f>Sales!J33</f>
        <v/>
      </c>
      <c r="D33">
        <f>Sales!C33</f>
        <v/>
      </c>
      <c r="E33">
        <f>Sales!E33</f>
        <v/>
      </c>
      <c r="F33">
        <f>IF(B33&gt;15,"Bulk","Normal")</f>
        <v/>
      </c>
      <c r="G33">
        <f>IF(AND(B33&gt;10,C33&gt;0),"Bulk Discount","")</f>
        <v/>
      </c>
      <c r="H33">
        <f>IF(OR(D33="North",D33="South"),"N/S","E/W")</f>
        <v/>
      </c>
      <c r="I33">
        <f>IF(B33&gt;20,"High",IF(B33&gt;10,"Medium","Low"))</f>
        <v/>
      </c>
      <c r="J33" s="4">
        <f>IF(E33="Online",0.02,IF(E33="Retail Store",0.05,0.08))</f>
        <v/>
      </c>
      <c r="K33" s="10">
        <f>IFERROR(B33/Sales!I33,0)</f>
        <v/>
      </c>
      <c r="L33">
        <f>IF(OR(AND(D33="North",E33&lt;&gt;"Online"),AND(D33&lt;&gt;"North",E33="Online")),TRUE,FALSE)</f>
        <v/>
      </c>
    </row>
    <row r="34">
      <c r="A34">
        <f>Sales!A34</f>
        <v/>
      </c>
      <c r="B34">
        <f>Sales!H34</f>
        <v/>
      </c>
      <c r="C34" s="4">
        <f>Sales!J34</f>
        <v/>
      </c>
      <c r="D34">
        <f>Sales!C34</f>
        <v/>
      </c>
      <c r="E34">
        <f>Sales!E34</f>
        <v/>
      </c>
      <c r="F34">
        <f>IF(B34&gt;15,"Bulk","Normal")</f>
        <v/>
      </c>
      <c r="G34">
        <f>IF(AND(B34&gt;10,C34&gt;0),"Bulk Discount","")</f>
        <v/>
      </c>
      <c r="H34">
        <f>IF(OR(D34="North",D34="South"),"N/S","E/W")</f>
        <v/>
      </c>
      <c r="I34">
        <f>IF(B34&gt;20,"High",IF(B34&gt;10,"Medium","Low"))</f>
        <v/>
      </c>
      <c r="J34" s="4">
        <f>IF(E34="Online",0.02,IF(E34="Retail Store",0.05,0.08))</f>
        <v/>
      </c>
      <c r="K34" s="10">
        <f>IFERROR(B34/Sales!I34,0)</f>
        <v/>
      </c>
      <c r="L34">
        <f>IF(OR(AND(D34="North",E34&lt;&gt;"Online"),AND(D34&lt;&gt;"North",E34="Online")),TRUE,FALSE)</f>
        <v/>
      </c>
    </row>
    <row r="35">
      <c r="A35">
        <f>Sales!A35</f>
        <v/>
      </c>
      <c r="B35">
        <f>Sales!H35</f>
        <v/>
      </c>
      <c r="C35" s="4">
        <f>Sales!J35</f>
        <v/>
      </c>
      <c r="D35">
        <f>Sales!C35</f>
        <v/>
      </c>
      <c r="E35">
        <f>Sales!E35</f>
        <v/>
      </c>
      <c r="F35">
        <f>IF(B35&gt;15,"Bulk","Normal")</f>
        <v/>
      </c>
      <c r="G35">
        <f>IF(AND(B35&gt;10,C35&gt;0),"Bulk Discount","")</f>
        <v/>
      </c>
      <c r="H35">
        <f>IF(OR(D35="North",D35="South"),"N/S","E/W")</f>
        <v/>
      </c>
      <c r="I35">
        <f>IF(B35&gt;20,"High",IF(B35&gt;10,"Medium","Low"))</f>
        <v/>
      </c>
      <c r="J35" s="4">
        <f>IF(E35="Online",0.02,IF(E35="Retail Store",0.05,0.08))</f>
        <v/>
      </c>
      <c r="K35" s="10">
        <f>IFERROR(B35/Sales!I35,0)</f>
        <v/>
      </c>
      <c r="L35">
        <f>IF(OR(AND(D35="North",E35&lt;&gt;"Online"),AND(D35&lt;&gt;"North",E35="Online")),TRUE,FALSE)</f>
        <v/>
      </c>
    </row>
    <row r="36">
      <c r="A36">
        <f>Sales!A36</f>
        <v/>
      </c>
      <c r="B36">
        <f>Sales!H36</f>
        <v/>
      </c>
      <c r="C36" s="4">
        <f>Sales!J36</f>
        <v/>
      </c>
      <c r="D36">
        <f>Sales!C36</f>
        <v/>
      </c>
      <c r="E36">
        <f>Sales!E36</f>
        <v/>
      </c>
      <c r="F36">
        <f>IF(B36&gt;15,"Bulk","Normal")</f>
        <v/>
      </c>
      <c r="G36">
        <f>IF(AND(B36&gt;10,C36&gt;0),"Bulk Discount","")</f>
        <v/>
      </c>
      <c r="H36">
        <f>IF(OR(D36="North",D36="South"),"N/S","E/W")</f>
        <v/>
      </c>
      <c r="I36">
        <f>IF(B36&gt;20,"High",IF(B36&gt;10,"Medium","Low"))</f>
        <v/>
      </c>
      <c r="J36" s="4">
        <f>IF(E36="Online",0.02,IF(E36="Retail Store",0.05,0.08))</f>
        <v/>
      </c>
      <c r="K36" s="10">
        <f>IFERROR(B36/Sales!I36,0)</f>
        <v/>
      </c>
      <c r="L36">
        <f>IF(OR(AND(D36="North",E36&lt;&gt;"Online"),AND(D36&lt;&gt;"North",E36="Online")),TRUE,FALSE)</f>
        <v/>
      </c>
    </row>
    <row r="37">
      <c r="A37">
        <f>Sales!A37</f>
        <v/>
      </c>
      <c r="B37">
        <f>Sales!H37</f>
        <v/>
      </c>
      <c r="C37" s="4">
        <f>Sales!J37</f>
        <v/>
      </c>
      <c r="D37">
        <f>Sales!C37</f>
        <v/>
      </c>
      <c r="E37">
        <f>Sales!E37</f>
        <v/>
      </c>
      <c r="F37">
        <f>IF(B37&gt;15,"Bulk","Normal")</f>
        <v/>
      </c>
      <c r="G37">
        <f>IF(AND(B37&gt;10,C37&gt;0),"Bulk Discount","")</f>
        <v/>
      </c>
      <c r="H37">
        <f>IF(OR(D37="North",D37="South"),"N/S","E/W")</f>
        <v/>
      </c>
      <c r="I37">
        <f>IF(B37&gt;20,"High",IF(B37&gt;10,"Medium","Low"))</f>
        <v/>
      </c>
      <c r="J37" s="4">
        <f>IF(E37="Online",0.02,IF(E37="Retail Store",0.05,0.08))</f>
        <v/>
      </c>
      <c r="K37" s="10">
        <f>IFERROR(B37/Sales!I37,0)</f>
        <v/>
      </c>
      <c r="L37">
        <f>IF(OR(AND(D37="North",E37&lt;&gt;"Online"),AND(D37&lt;&gt;"North",E37="Online")),TRUE,FALSE)</f>
        <v/>
      </c>
    </row>
    <row r="38">
      <c r="A38">
        <f>Sales!A38</f>
        <v/>
      </c>
      <c r="B38">
        <f>Sales!H38</f>
        <v/>
      </c>
      <c r="C38" s="4">
        <f>Sales!J38</f>
        <v/>
      </c>
      <c r="D38">
        <f>Sales!C38</f>
        <v/>
      </c>
      <c r="E38">
        <f>Sales!E38</f>
        <v/>
      </c>
      <c r="F38">
        <f>IF(B38&gt;15,"Bulk","Normal")</f>
        <v/>
      </c>
      <c r="G38">
        <f>IF(AND(B38&gt;10,C38&gt;0),"Bulk Discount","")</f>
        <v/>
      </c>
      <c r="H38">
        <f>IF(OR(D38="North",D38="South"),"N/S","E/W")</f>
        <v/>
      </c>
      <c r="I38">
        <f>IF(B38&gt;20,"High",IF(B38&gt;10,"Medium","Low"))</f>
        <v/>
      </c>
      <c r="J38" s="4">
        <f>IF(E38="Online",0.02,IF(E38="Retail Store",0.05,0.08))</f>
        <v/>
      </c>
      <c r="K38" s="10">
        <f>IFERROR(B38/Sales!I38,0)</f>
        <v/>
      </c>
      <c r="L38">
        <f>IF(OR(AND(D38="North",E38&lt;&gt;"Online"),AND(D38&lt;&gt;"North",E38="Online")),TRUE,FALSE)</f>
        <v/>
      </c>
    </row>
    <row r="39">
      <c r="A39">
        <f>Sales!A39</f>
        <v/>
      </c>
      <c r="B39">
        <f>Sales!H39</f>
        <v/>
      </c>
      <c r="C39" s="4">
        <f>Sales!J39</f>
        <v/>
      </c>
      <c r="D39">
        <f>Sales!C39</f>
        <v/>
      </c>
      <c r="E39">
        <f>Sales!E39</f>
        <v/>
      </c>
      <c r="F39">
        <f>IF(B39&gt;15,"Bulk","Normal")</f>
        <v/>
      </c>
      <c r="G39">
        <f>IF(AND(B39&gt;10,C39&gt;0),"Bulk Discount","")</f>
        <v/>
      </c>
      <c r="H39">
        <f>IF(OR(D39="North",D39="South"),"N/S","E/W")</f>
        <v/>
      </c>
      <c r="I39">
        <f>IF(B39&gt;20,"High",IF(B39&gt;10,"Medium","Low"))</f>
        <v/>
      </c>
      <c r="J39" s="4">
        <f>IF(E39="Online",0.02,IF(E39="Retail Store",0.05,0.08))</f>
        <v/>
      </c>
      <c r="K39" s="10">
        <f>IFERROR(B39/Sales!I39,0)</f>
        <v/>
      </c>
      <c r="L39">
        <f>IF(OR(AND(D39="North",E39&lt;&gt;"Online"),AND(D39&lt;&gt;"North",E39="Online")),TRUE,FALSE)</f>
        <v/>
      </c>
    </row>
    <row r="40">
      <c r="A40">
        <f>Sales!A40</f>
        <v/>
      </c>
      <c r="B40">
        <f>Sales!H40</f>
        <v/>
      </c>
      <c r="C40" s="4">
        <f>Sales!J40</f>
        <v/>
      </c>
      <c r="D40">
        <f>Sales!C40</f>
        <v/>
      </c>
      <c r="E40">
        <f>Sales!E40</f>
        <v/>
      </c>
      <c r="F40">
        <f>IF(B40&gt;15,"Bulk","Normal")</f>
        <v/>
      </c>
      <c r="G40">
        <f>IF(AND(B40&gt;10,C40&gt;0),"Bulk Discount","")</f>
        <v/>
      </c>
      <c r="H40">
        <f>IF(OR(D40="North",D40="South"),"N/S","E/W")</f>
        <v/>
      </c>
      <c r="I40">
        <f>IF(B40&gt;20,"High",IF(B40&gt;10,"Medium","Low"))</f>
        <v/>
      </c>
      <c r="J40" s="4">
        <f>IF(E40="Online",0.02,IF(E40="Retail Store",0.05,0.08))</f>
        <v/>
      </c>
      <c r="K40" s="10">
        <f>IFERROR(B40/Sales!I40,0)</f>
        <v/>
      </c>
      <c r="L40">
        <f>IF(OR(AND(D40="North",E40&lt;&gt;"Online"),AND(D40&lt;&gt;"North",E40="Online")),TRUE,FALSE)</f>
        <v/>
      </c>
    </row>
    <row r="41">
      <c r="A41">
        <f>Sales!A41</f>
        <v/>
      </c>
      <c r="B41">
        <f>Sales!H41</f>
        <v/>
      </c>
      <c r="C41" s="4">
        <f>Sales!J41</f>
        <v/>
      </c>
      <c r="D41">
        <f>Sales!C41</f>
        <v/>
      </c>
      <c r="E41">
        <f>Sales!E41</f>
        <v/>
      </c>
      <c r="F41">
        <f>IF(B41&gt;15,"Bulk","Normal")</f>
        <v/>
      </c>
      <c r="G41">
        <f>IF(AND(B41&gt;10,C41&gt;0),"Bulk Discount","")</f>
        <v/>
      </c>
      <c r="H41">
        <f>IF(OR(D41="North",D41="South"),"N/S","E/W")</f>
        <v/>
      </c>
      <c r="I41">
        <f>IF(B41&gt;20,"High",IF(B41&gt;10,"Medium","Low"))</f>
        <v/>
      </c>
      <c r="J41" s="4">
        <f>IF(E41="Online",0.02,IF(E41="Retail Store",0.05,0.08))</f>
        <v/>
      </c>
      <c r="K41" s="10">
        <f>IFERROR(B41/Sales!I41,0)</f>
        <v/>
      </c>
      <c r="L41">
        <f>IF(OR(AND(D41="North",E41&lt;&gt;"Online"),AND(D41&lt;&gt;"North",E41="Online")),TRUE,FALSE)</f>
        <v/>
      </c>
    </row>
    <row r="42">
      <c r="A42">
        <f>Sales!A42</f>
        <v/>
      </c>
      <c r="B42">
        <f>Sales!H42</f>
        <v/>
      </c>
      <c r="C42" s="4">
        <f>Sales!J42</f>
        <v/>
      </c>
      <c r="D42">
        <f>Sales!C42</f>
        <v/>
      </c>
      <c r="E42">
        <f>Sales!E42</f>
        <v/>
      </c>
      <c r="F42">
        <f>IF(B42&gt;15,"Bulk","Normal")</f>
        <v/>
      </c>
      <c r="G42">
        <f>IF(AND(B42&gt;10,C42&gt;0),"Bulk Discount","")</f>
        <v/>
      </c>
      <c r="H42">
        <f>IF(OR(D42="North",D42="South"),"N/S","E/W")</f>
        <v/>
      </c>
      <c r="I42">
        <f>IF(B42&gt;20,"High",IF(B42&gt;10,"Medium","Low"))</f>
        <v/>
      </c>
      <c r="J42" s="4">
        <f>IF(E42="Online",0.02,IF(E42="Retail Store",0.05,0.08))</f>
        <v/>
      </c>
      <c r="K42" s="10">
        <f>IFERROR(B42/Sales!I42,0)</f>
        <v/>
      </c>
      <c r="L42">
        <f>IF(OR(AND(D42="North",E42&lt;&gt;"Online"),AND(D42&lt;&gt;"North",E42="Online")),TRUE,FALSE)</f>
        <v/>
      </c>
    </row>
    <row r="43">
      <c r="A43">
        <f>Sales!A43</f>
        <v/>
      </c>
      <c r="B43">
        <f>Sales!H43</f>
        <v/>
      </c>
      <c r="C43" s="4">
        <f>Sales!J43</f>
        <v/>
      </c>
      <c r="D43">
        <f>Sales!C43</f>
        <v/>
      </c>
      <c r="E43">
        <f>Sales!E43</f>
        <v/>
      </c>
      <c r="F43">
        <f>IF(B43&gt;15,"Bulk","Normal")</f>
        <v/>
      </c>
      <c r="G43">
        <f>IF(AND(B43&gt;10,C43&gt;0),"Bulk Discount","")</f>
        <v/>
      </c>
      <c r="H43">
        <f>IF(OR(D43="North",D43="South"),"N/S","E/W")</f>
        <v/>
      </c>
      <c r="I43">
        <f>IF(B43&gt;20,"High",IF(B43&gt;10,"Medium","Low"))</f>
        <v/>
      </c>
      <c r="J43" s="4">
        <f>IF(E43="Online",0.02,IF(E43="Retail Store",0.05,0.08))</f>
        <v/>
      </c>
      <c r="K43" s="10">
        <f>IFERROR(B43/Sales!I43,0)</f>
        <v/>
      </c>
      <c r="L43">
        <f>IF(OR(AND(D43="North",E43&lt;&gt;"Online"),AND(D43&lt;&gt;"North",E43="Online")),TRUE,FALSE)</f>
        <v/>
      </c>
    </row>
    <row r="44">
      <c r="A44">
        <f>Sales!A44</f>
        <v/>
      </c>
      <c r="B44">
        <f>Sales!H44</f>
        <v/>
      </c>
      <c r="C44" s="4">
        <f>Sales!J44</f>
        <v/>
      </c>
      <c r="D44">
        <f>Sales!C44</f>
        <v/>
      </c>
      <c r="E44">
        <f>Sales!E44</f>
        <v/>
      </c>
      <c r="F44">
        <f>IF(B44&gt;15,"Bulk","Normal")</f>
        <v/>
      </c>
      <c r="G44">
        <f>IF(AND(B44&gt;10,C44&gt;0),"Bulk Discount","")</f>
        <v/>
      </c>
      <c r="H44">
        <f>IF(OR(D44="North",D44="South"),"N/S","E/W")</f>
        <v/>
      </c>
      <c r="I44">
        <f>IF(B44&gt;20,"High",IF(B44&gt;10,"Medium","Low"))</f>
        <v/>
      </c>
      <c r="J44" s="4">
        <f>IF(E44="Online",0.02,IF(E44="Retail Store",0.05,0.08))</f>
        <v/>
      </c>
      <c r="K44" s="10">
        <f>IFERROR(B44/Sales!I44,0)</f>
        <v/>
      </c>
      <c r="L44">
        <f>IF(OR(AND(D44="North",E44&lt;&gt;"Online"),AND(D44&lt;&gt;"North",E44="Online")),TRUE,FALSE)</f>
        <v/>
      </c>
    </row>
    <row r="45">
      <c r="A45">
        <f>Sales!A45</f>
        <v/>
      </c>
      <c r="B45">
        <f>Sales!H45</f>
        <v/>
      </c>
      <c r="C45" s="4">
        <f>Sales!J45</f>
        <v/>
      </c>
      <c r="D45">
        <f>Sales!C45</f>
        <v/>
      </c>
      <c r="E45">
        <f>Sales!E45</f>
        <v/>
      </c>
      <c r="F45">
        <f>IF(B45&gt;15,"Bulk","Normal")</f>
        <v/>
      </c>
      <c r="G45">
        <f>IF(AND(B45&gt;10,C45&gt;0),"Bulk Discount","")</f>
        <v/>
      </c>
      <c r="H45">
        <f>IF(OR(D45="North",D45="South"),"N/S","E/W")</f>
        <v/>
      </c>
      <c r="I45">
        <f>IF(B45&gt;20,"High",IF(B45&gt;10,"Medium","Low"))</f>
        <v/>
      </c>
      <c r="J45" s="4">
        <f>IF(E45="Online",0.02,IF(E45="Retail Store",0.05,0.08))</f>
        <v/>
      </c>
      <c r="K45" s="10">
        <f>IFERROR(B45/Sales!I45,0)</f>
        <v/>
      </c>
      <c r="L45">
        <f>IF(OR(AND(D45="North",E45&lt;&gt;"Online"),AND(D45&lt;&gt;"North",E45="Online")),TRUE,FALSE)</f>
        <v/>
      </c>
    </row>
    <row r="46">
      <c r="A46">
        <f>Sales!A46</f>
        <v/>
      </c>
      <c r="B46">
        <f>Sales!H46</f>
        <v/>
      </c>
      <c r="C46" s="4">
        <f>Sales!J46</f>
        <v/>
      </c>
      <c r="D46">
        <f>Sales!C46</f>
        <v/>
      </c>
      <c r="E46">
        <f>Sales!E46</f>
        <v/>
      </c>
      <c r="F46">
        <f>IF(B46&gt;15,"Bulk","Normal")</f>
        <v/>
      </c>
      <c r="G46">
        <f>IF(AND(B46&gt;10,C46&gt;0),"Bulk Discount","")</f>
        <v/>
      </c>
      <c r="H46">
        <f>IF(OR(D46="North",D46="South"),"N/S","E/W")</f>
        <v/>
      </c>
      <c r="I46">
        <f>IF(B46&gt;20,"High",IF(B46&gt;10,"Medium","Low"))</f>
        <v/>
      </c>
      <c r="J46" s="4">
        <f>IF(E46="Online",0.02,IF(E46="Retail Store",0.05,0.08))</f>
        <v/>
      </c>
      <c r="K46" s="10">
        <f>IFERROR(B46/Sales!I46,0)</f>
        <v/>
      </c>
      <c r="L46">
        <f>IF(OR(AND(D46="North",E46&lt;&gt;"Online"),AND(D46&lt;&gt;"North",E46="Online")),TRUE,FALSE)</f>
        <v/>
      </c>
    </row>
    <row r="47">
      <c r="A47">
        <f>Sales!A47</f>
        <v/>
      </c>
      <c r="B47">
        <f>Sales!H47</f>
        <v/>
      </c>
      <c r="C47" s="4">
        <f>Sales!J47</f>
        <v/>
      </c>
      <c r="D47">
        <f>Sales!C47</f>
        <v/>
      </c>
      <c r="E47">
        <f>Sales!E47</f>
        <v/>
      </c>
      <c r="F47">
        <f>IF(B47&gt;15,"Bulk","Normal")</f>
        <v/>
      </c>
      <c r="G47">
        <f>IF(AND(B47&gt;10,C47&gt;0),"Bulk Discount","")</f>
        <v/>
      </c>
      <c r="H47">
        <f>IF(OR(D47="North",D47="South"),"N/S","E/W")</f>
        <v/>
      </c>
      <c r="I47">
        <f>IF(B47&gt;20,"High",IF(B47&gt;10,"Medium","Low"))</f>
        <v/>
      </c>
      <c r="J47" s="4">
        <f>IF(E47="Online",0.02,IF(E47="Retail Store",0.05,0.08))</f>
        <v/>
      </c>
      <c r="K47" s="10">
        <f>IFERROR(B47/Sales!I47,0)</f>
        <v/>
      </c>
      <c r="L47">
        <f>IF(OR(AND(D47="North",E47&lt;&gt;"Online"),AND(D47&lt;&gt;"North",E47="Online")),TRUE,FALSE)</f>
        <v/>
      </c>
    </row>
    <row r="48">
      <c r="A48">
        <f>Sales!A48</f>
        <v/>
      </c>
      <c r="B48">
        <f>Sales!H48</f>
        <v/>
      </c>
      <c r="C48" s="4">
        <f>Sales!J48</f>
        <v/>
      </c>
      <c r="D48">
        <f>Sales!C48</f>
        <v/>
      </c>
      <c r="E48">
        <f>Sales!E48</f>
        <v/>
      </c>
      <c r="F48">
        <f>IF(B48&gt;15,"Bulk","Normal")</f>
        <v/>
      </c>
      <c r="G48">
        <f>IF(AND(B48&gt;10,C48&gt;0),"Bulk Discount","")</f>
        <v/>
      </c>
      <c r="H48">
        <f>IF(OR(D48="North",D48="South"),"N/S","E/W")</f>
        <v/>
      </c>
      <c r="I48">
        <f>IF(B48&gt;20,"High",IF(B48&gt;10,"Medium","Low"))</f>
        <v/>
      </c>
      <c r="J48" s="4">
        <f>IF(E48="Online",0.02,IF(E48="Retail Store",0.05,0.08))</f>
        <v/>
      </c>
      <c r="K48" s="10">
        <f>IFERROR(B48/Sales!I48,0)</f>
        <v/>
      </c>
      <c r="L48">
        <f>IF(OR(AND(D48="North",E48&lt;&gt;"Online"),AND(D48&lt;&gt;"North",E48="Online")),TRUE,FALSE)</f>
        <v/>
      </c>
    </row>
    <row r="49">
      <c r="A49">
        <f>Sales!A49</f>
        <v/>
      </c>
      <c r="B49">
        <f>Sales!H49</f>
        <v/>
      </c>
      <c r="C49" s="4">
        <f>Sales!J49</f>
        <v/>
      </c>
      <c r="D49">
        <f>Sales!C49</f>
        <v/>
      </c>
      <c r="E49">
        <f>Sales!E49</f>
        <v/>
      </c>
      <c r="F49">
        <f>IF(B49&gt;15,"Bulk","Normal")</f>
        <v/>
      </c>
      <c r="G49">
        <f>IF(AND(B49&gt;10,C49&gt;0),"Bulk Discount","")</f>
        <v/>
      </c>
      <c r="H49">
        <f>IF(OR(D49="North",D49="South"),"N/S","E/W")</f>
        <v/>
      </c>
      <c r="I49">
        <f>IF(B49&gt;20,"High",IF(B49&gt;10,"Medium","Low"))</f>
        <v/>
      </c>
      <c r="J49" s="4">
        <f>IF(E49="Online",0.02,IF(E49="Retail Store",0.05,0.08))</f>
        <v/>
      </c>
      <c r="K49" s="10">
        <f>IFERROR(B49/Sales!I49,0)</f>
        <v/>
      </c>
      <c r="L49">
        <f>IF(OR(AND(D49="North",E49&lt;&gt;"Online"),AND(D49&lt;&gt;"North",E49="Online")),TRUE,FALSE)</f>
        <v/>
      </c>
    </row>
    <row r="50">
      <c r="A50">
        <f>Sales!A50</f>
        <v/>
      </c>
      <c r="B50">
        <f>Sales!H50</f>
        <v/>
      </c>
      <c r="C50" s="4">
        <f>Sales!J50</f>
        <v/>
      </c>
      <c r="D50">
        <f>Sales!C50</f>
        <v/>
      </c>
      <c r="E50">
        <f>Sales!E50</f>
        <v/>
      </c>
      <c r="F50">
        <f>IF(B50&gt;15,"Bulk","Normal")</f>
        <v/>
      </c>
      <c r="G50">
        <f>IF(AND(B50&gt;10,C50&gt;0),"Bulk Discount","")</f>
        <v/>
      </c>
      <c r="H50">
        <f>IF(OR(D50="North",D50="South"),"N/S","E/W")</f>
        <v/>
      </c>
      <c r="I50">
        <f>IF(B50&gt;20,"High",IF(B50&gt;10,"Medium","Low"))</f>
        <v/>
      </c>
      <c r="J50" s="4">
        <f>IF(E50="Online",0.02,IF(E50="Retail Store",0.05,0.08))</f>
        <v/>
      </c>
      <c r="K50" s="10">
        <f>IFERROR(B50/Sales!I50,0)</f>
        <v/>
      </c>
      <c r="L50">
        <f>IF(OR(AND(D50="North",E50&lt;&gt;"Online"),AND(D50&lt;&gt;"North",E50="Online")),TRUE,FALSE)</f>
        <v/>
      </c>
    </row>
    <row r="51">
      <c r="A51">
        <f>Sales!A51</f>
        <v/>
      </c>
      <c r="B51">
        <f>Sales!H51</f>
        <v/>
      </c>
      <c r="C51" s="4">
        <f>Sales!J51</f>
        <v/>
      </c>
      <c r="D51">
        <f>Sales!C51</f>
        <v/>
      </c>
      <c r="E51">
        <f>Sales!E51</f>
        <v/>
      </c>
      <c r="F51">
        <f>IF(B51&gt;15,"Bulk","Normal")</f>
        <v/>
      </c>
      <c r="G51">
        <f>IF(AND(B51&gt;10,C51&gt;0),"Bulk Discount","")</f>
        <v/>
      </c>
      <c r="H51">
        <f>IF(OR(D51="North",D51="South"),"N/S","E/W")</f>
        <v/>
      </c>
      <c r="I51">
        <f>IF(B51&gt;20,"High",IF(B51&gt;10,"Medium","Low"))</f>
        <v/>
      </c>
      <c r="J51" s="4">
        <f>IF(E51="Online",0.02,IF(E51="Retail Store",0.05,0.08))</f>
        <v/>
      </c>
      <c r="K51" s="10">
        <f>IFERROR(B51/Sales!I51,0)</f>
        <v/>
      </c>
      <c r="L51">
        <f>IF(OR(AND(D51="North",E51&lt;&gt;"Online"),AND(D51&lt;&gt;"North",E51="Online")),TRUE,FALSE)</f>
        <v/>
      </c>
    </row>
    <row r="52">
      <c r="A52">
        <f>Sales!A52</f>
        <v/>
      </c>
      <c r="B52">
        <f>Sales!H52</f>
        <v/>
      </c>
      <c r="C52" s="4">
        <f>Sales!J52</f>
        <v/>
      </c>
      <c r="D52">
        <f>Sales!C52</f>
        <v/>
      </c>
      <c r="E52">
        <f>Sales!E52</f>
        <v/>
      </c>
      <c r="F52">
        <f>IF(B52&gt;15,"Bulk","Normal")</f>
        <v/>
      </c>
      <c r="G52">
        <f>IF(AND(B52&gt;10,C52&gt;0),"Bulk Discount","")</f>
        <v/>
      </c>
      <c r="H52">
        <f>IF(OR(D52="North",D52="South"),"N/S","E/W")</f>
        <v/>
      </c>
      <c r="I52">
        <f>IF(B52&gt;20,"High",IF(B52&gt;10,"Medium","Low"))</f>
        <v/>
      </c>
      <c r="J52" s="4">
        <f>IF(E52="Online",0.02,IF(E52="Retail Store",0.05,0.08))</f>
        <v/>
      </c>
      <c r="K52" s="10">
        <f>IFERROR(B52/Sales!I52,0)</f>
        <v/>
      </c>
      <c r="L52">
        <f>IF(OR(AND(D52="North",E52&lt;&gt;"Online"),AND(D52&lt;&gt;"North",E52="Online")),TRUE,FALSE)</f>
        <v/>
      </c>
    </row>
    <row r="53">
      <c r="A53">
        <f>Sales!A53</f>
        <v/>
      </c>
      <c r="B53">
        <f>Sales!H53</f>
        <v/>
      </c>
      <c r="C53" s="4">
        <f>Sales!J53</f>
        <v/>
      </c>
      <c r="D53">
        <f>Sales!C53</f>
        <v/>
      </c>
      <c r="E53">
        <f>Sales!E53</f>
        <v/>
      </c>
      <c r="F53">
        <f>IF(B53&gt;15,"Bulk","Normal")</f>
        <v/>
      </c>
      <c r="G53">
        <f>IF(AND(B53&gt;10,C53&gt;0),"Bulk Discount","")</f>
        <v/>
      </c>
      <c r="H53">
        <f>IF(OR(D53="North",D53="South"),"N/S","E/W")</f>
        <v/>
      </c>
      <c r="I53">
        <f>IF(B53&gt;20,"High",IF(B53&gt;10,"Medium","Low"))</f>
        <v/>
      </c>
      <c r="J53" s="4">
        <f>IF(E53="Online",0.02,IF(E53="Retail Store",0.05,0.08))</f>
        <v/>
      </c>
      <c r="K53" s="10">
        <f>IFERROR(B53/Sales!I53,0)</f>
        <v/>
      </c>
      <c r="L53">
        <f>IF(OR(AND(D53="North",E53&lt;&gt;"Online"),AND(D53&lt;&gt;"North",E53="Online")),TRUE,FALSE)</f>
        <v/>
      </c>
    </row>
    <row r="54">
      <c r="A54">
        <f>Sales!A54</f>
        <v/>
      </c>
      <c r="B54">
        <f>Sales!H54</f>
        <v/>
      </c>
      <c r="C54" s="4">
        <f>Sales!J54</f>
        <v/>
      </c>
      <c r="D54">
        <f>Sales!C54</f>
        <v/>
      </c>
      <c r="E54">
        <f>Sales!E54</f>
        <v/>
      </c>
      <c r="F54">
        <f>IF(B54&gt;15,"Bulk","Normal")</f>
        <v/>
      </c>
      <c r="G54">
        <f>IF(AND(B54&gt;10,C54&gt;0),"Bulk Discount","")</f>
        <v/>
      </c>
      <c r="H54">
        <f>IF(OR(D54="North",D54="South"),"N/S","E/W")</f>
        <v/>
      </c>
      <c r="I54">
        <f>IF(B54&gt;20,"High",IF(B54&gt;10,"Medium","Low"))</f>
        <v/>
      </c>
      <c r="J54" s="4">
        <f>IF(E54="Online",0.02,IF(E54="Retail Store",0.05,0.08))</f>
        <v/>
      </c>
      <c r="K54" s="10">
        <f>IFERROR(B54/Sales!I54,0)</f>
        <v/>
      </c>
      <c r="L54">
        <f>IF(OR(AND(D54="North",E54&lt;&gt;"Online"),AND(D54&lt;&gt;"North",E54="Online")),TRUE,FALSE)</f>
        <v/>
      </c>
    </row>
    <row r="55">
      <c r="A55">
        <f>Sales!A55</f>
        <v/>
      </c>
      <c r="B55">
        <f>Sales!H55</f>
        <v/>
      </c>
      <c r="C55" s="4">
        <f>Sales!J55</f>
        <v/>
      </c>
      <c r="D55">
        <f>Sales!C55</f>
        <v/>
      </c>
      <c r="E55">
        <f>Sales!E55</f>
        <v/>
      </c>
      <c r="F55">
        <f>IF(B55&gt;15,"Bulk","Normal")</f>
        <v/>
      </c>
      <c r="G55">
        <f>IF(AND(B55&gt;10,C55&gt;0),"Bulk Discount","")</f>
        <v/>
      </c>
      <c r="H55">
        <f>IF(OR(D55="North",D55="South"),"N/S","E/W")</f>
        <v/>
      </c>
      <c r="I55">
        <f>IF(B55&gt;20,"High",IF(B55&gt;10,"Medium","Low"))</f>
        <v/>
      </c>
      <c r="J55" s="4">
        <f>IF(E55="Online",0.02,IF(E55="Retail Store",0.05,0.08))</f>
        <v/>
      </c>
      <c r="K55" s="10">
        <f>IFERROR(B55/Sales!I55,0)</f>
        <v/>
      </c>
      <c r="L55">
        <f>IF(OR(AND(D55="North",E55&lt;&gt;"Online"),AND(D55&lt;&gt;"North",E55="Online")),TRUE,FALSE)</f>
        <v/>
      </c>
    </row>
    <row r="56">
      <c r="A56">
        <f>Sales!A56</f>
        <v/>
      </c>
      <c r="B56">
        <f>Sales!H56</f>
        <v/>
      </c>
      <c r="C56" s="4">
        <f>Sales!J56</f>
        <v/>
      </c>
      <c r="D56">
        <f>Sales!C56</f>
        <v/>
      </c>
      <c r="E56">
        <f>Sales!E56</f>
        <v/>
      </c>
      <c r="F56">
        <f>IF(B56&gt;15,"Bulk","Normal")</f>
        <v/>
      </c>
      <c r="G56">
        <f>IF(AND(B56&gt;10,C56&gt;0),"Bulk Discount","")</f>
        <v/>
      </c>
      <c r="H56">
        <f>IF(OR(D56="North",D56="South"),"N/S","E/W")</f>
        <v/>
      </c>
      <c r="I56">
        <f>IF(B56&gt;20,"High",IF(B56&gt;10,"Medium","Low"))</f>
        <v/>
      </c>
      <c r="J56" s="4">
        <f>IF(E56="Online",0.02,IF(E56="Retail Store",0.05,0.08))</f>
        <v/>
      </c>
      <c r="K56" s="10">
        <f>IFERROR(B56/Sales!I56,0)</f>
        <v/>
      </c>
      <c r="L56">
        <f>IF(OR(AND(D56="North",E56&lt;&gt;"Online"),AND(D56&lt;&gt;"North",E56="Online")),TRUE,FALSE)</f>
        <v/>
      </c>
    </row>
    <row r="57">
      <c r="A57">
        <f>Sales!A57</f>
        <v/>
      </c>
      <c r="B57">
        <f>Sales!H57</f>
        <v/>
      </c>
      <c r="C57" s="4">
        <f>Sales!J57</f>
        <v/>
      </c>
      <c r="D57">
        <f>Sales!C57</f>
        <v/>
      </c>
      <c r="E57">
        <f>Sales!E57</f>
        <v/>
      </c>
      <c r="F57">
        <f>IF(B57&gt;15,"Bulk","Normal")</f>
        <v/>
      </c>
      <c r="G57">
        <f>IF(AND(B57&gt;10,C57&gt;0),"Bulk Discount","")</f>
        <v/>
      </c>
      <c r="H57">
        <f>IF(OR(D57="North",D57="South"),"N/S","E/W")</f>
        <v/>
      </c>
      <c r="I57">
        <f>IF(B57&gt;20,"High",IF(B57&gt;10,"Medium","Low"))</f>
        <v/>
      </c>
      <c r="J57" s="4">
        <f>IF(E57="Online",0.02,IF(E57="Retail Store",0.05,0.08))</f>
        <v/>
      </c>
      <c r="K57" s="10">
        <f>IFERROR(B57/Sales!I57,0)</f>
        <v/>
      </c>
      <c r="L57">
        <f>IF(OR(AND(D57="North",E57&lt;&gt;"Online"),AND(D57&lt;&gt;"North",E57="Online")),TRUE,FALSE)</f>
        <v/>
      </c>
    </row>
    <row r="58">
      <c r="A58">
        <f>Sales!A58</f>
        <v/>
      </c>
      <c r="B58">
        <f>Sales!H58</f>
        <v/>
      </c>
      <c r="C58" s="4">
        <f>Sales!J58</f>
        <v/>
      </c>
      <c r="D58">
        <f>Sales!C58</f>
        <v/>
      </c>
      <c r="E58">
        <f>Sales!E58</f>
        <v/>
      </c>
      <c r="F58">
        <f>IF(B58&gt;15,"Bulk","Normal")</f>
        <v/>
      </c>
      <c r="G58">
        <f>IF(AND(B58&gt;10,C58&gt;0),"Bulk Discount","")</f>
        <v/>
      </c>
      <c r="H58">
        <f>IF(OR(D58="North",D58="South"),"N/S","E/W")</f>
        <v/>
      </c>
      <c r="I58">
        <f>IF(B58&gt;20,"High",IF(B58&gt;10,"Medium","Low"))</f>
        <v/>
      </c>
      <c r="J58" s="4">
        <f>IF(E58="Online",0.02,IF(E58="Retail Store",0.05,0.08))</f>
        <v/>
      </c>
      <c r="K58" s="10">
        <f>IFERROR(B58/Sales!I58,0)</f>
        <v/>
      </c>
      <c r="L58">
        <f>IF(OR(AND(D58="North",E58&lt;&gt;"Online"),AND(D58&lt;&gt;"North",E58="Online")),TRUE,FALSE)</f>
        <v/>
      </c>
    </row>
    <row r="59">
      <c r="A59">
        <f>Sales!A59</f>
        <v/>
      </c>
      <c r="B59">
        <f>Sales!H59</f>
        <v/>
      </c>
      <c r="C59" s="4">
        <f>Sales!J59</f>
        <v/>
      </c>
      <c r="D59">
        <f>Sales!C59</f>
        <v/>
      </c>
      <c r="E59">
        <f>Sales!E59</f>
        <v/>
      </c>
      <c r="F59">
        <f>IF(B59&gt;15,"Bulk","Normal")</f>
        <v/>
      </c>
      <c r="G59">
        <f>IF(AND(B59&gt;10,C59&gt;0),"Bulk Discount","")</f>
        <v/>
      </c>
      <c r="H59">
        <f>IF(OR(D59="North",D59="South"),"N/S","E/W")</f>
        <v/>
      </c>
      <c r="I59">
        <f>IF(B59&gt;20,"High",IF(B59&gt;10,"Medium","Low"))</f>
        <v/>
      </c>
      <c r="J59" s="4">
        <f>IF(E59="Online",0.02,IF(E59="Retail Store",0.05,0.08))</f>
        <v/>
      </c>
      <c r="K59" s="10">
        <f>IFERROR(B59/Sales!I59,0)</f>
        <v/>
      </c>
      <c r="L59">
        <f>IF(OR(AND(D59="North",E59&lt;&gt;"Online"),AND(D59&lt;&gt;"North",E59="Online")),TRUE,FALSE)</f>
        <v/>
      </c>
    </row>
    <row r="60">
      <c r="A60">
        <f>Sales!A60</f>
        <v/>
      </c>
      <c r="B60">
        <f>Sales!H60</f>
        <v/>
      </c>
      <c r="C60" s="4">
        <f>Sales!J60</f>
        <v/>
      </c>
      <c r="D60">
        <f>Sales!C60</f>
        <v/>
      </c>
      <c r="E60">
        <f>Sales!E60</f>
        <v/>
      </c>
      <c r="F60">
        <f>IF(B60&gt;15,"Bulk","Normal")</f>
        <v/>
      </c>
      <c r="G60">
        <f>IF(AND(B60&gt;10,C60&gt;0),"Bulk Discount","")</f>
        <v/>
      </c>
      <c r="H60">
        <f>IF(OR(D60="North",D60="South"),"N/S","E/W")</f>
        <v/>
      </c>
      <c r="I60">
        <f>IF(B60&gt;20,"High",IF(B60&gt;10,"Medium","Low"))</f>
        <v/>
      </c>
      <c r="J60" s="4">
        <f>IF(E60="Online",0.02,IF(E60="Retail Store",0.05,0.08))</f>
        <v/>
      </c>
      <c r="K60" s="10">
        <f>IFERROR(B60/Sales!I60,0)</f>
        <v/>
      </c>
      <c r="L60">
        <f>IF(OR(AND(D60="North",E60&lt;&gt;"Online"),AND(D60&lt;&gt;"North",E60="Online")),TRUE,FALSE)</f>
        <v/>
      </c>
    </row>
    <row r="61">
      <c r="A61">
        <f>Sales!A61</f>
        <v/>
      </c>
      <c r="B61">
        <f>Sales!H61</f>
        <v/>
      </c>
      <c r="C61" s="4">
        <f>Sales!J61</f>
        <v/>
      </c>
      <c r="D61">
        <f>Sales!C61</f>
        <v/>
      </c>
      <c r="E61">
        <f>Sales!E61</f>
        <v/>
      </c>
      <c r="F61">
        <f>IF(B61&gt;15,"Bulk","Normal")</f>
        <v/>
      </c>
      <c r="G61">
        <f>IF(AND(B61&gt;10,C61&gt;0),"Bulk Discount","")</f>
        <v/>
      </c>
      <c r="H61">
        <f>IF(OR(D61="North",D61="South"),"N/S","E/W")</f>
        <v/>
      </c>
      <c r="I61">
        <f>IF(B61&gt;20,"High",IF(B61&gt;10,"Medium","Low"))</f>
        <v/>
      </c>
      <c r="J61" s="4">
        <f>IF(E61="Online",0.02,IF(E61="Retail Store",0.05,0.08))</f>
        <v/>
      </c>
      <c r="K61" s="10">
        <f>IFERROR(B61/Sales!I61,0)</f>
        <v/>
      </c>
      <c r="L61">
        <f>IF(OR(AND(D61="North",E61&lt;&gt;"Online"),AND(D61&lt;&gt;"North",E61="Online")),TRUE,FALSE)</f>
        <v/>
      </c>
    </row>
    <row r="62">
      <c r="A62">
        <f>Sales!A62</f>
        <v/>
      </c>
      <c r="B62">
        <f>Sales!H62</f>
        <v/>
      </c>
      <c r="C62" s="4">
        <f>Sales!J62</f>
        <v/>
      </c>
      <c r="D62">
        <f>Sales!C62</f>
        <v/>
      </c>
      <c r="E62">
        <f>Sales!E62</f>
        <v/>
      </c>
      <c r="F62">
        <f>IF(B62&gt;15,"Bulk","Normal")</f>
        <v/>
      </c>
      <c r="G62">
        <f>IF(AND(B62&gt;10,C62&gt;0),"Bulk Discount","")</f>
        <v/>
      </c>
      <c r="H62">
        <f>IF(OR(D62="North",D62="South"),"N/S","E/W")</f>
        <v/>
      </c>
      <c r="I62">
        <f>IF(B62&gt;20,"High",IF(B62&gt;10,"Medium","Low"))</f>
        <v/>
      </c>
      <c r="J62" s="4">
        <f>IF(E62="Online",0.02,IF(E62="Retail Store",0.05,0.08))</f>
        <v/>
      </c>
      <c r="K62" s="10">
        <f>IFERROR(B62/Sales!I62,0)</f>
        <v/>
      </c>
      <c r="L62">
        <f>IF(OR(AND(D62="North",E62&lt;&gt;"Online"),AND(D62&lt;&gt;"North",E62="Online")),TRUE,FALSE)</f>
        <v/>
      </c>
    </row>
    <row r="63">
      <c r="A63">
        <f>Sales!A63</f>
        <v/>
      </c>
      <c r="B63">
        <f>Sales!H63</f>
        <v/>
      </c>
      <c r="C63" s="4">
        <f>Sales!J63</f>
        <v/>
      </c>
      <c r="D63">
        <f>Sales!C63</f>
        <v/>
      </c>
      <c r="E63">
        <f>Sales!E63</f>
        <v/>
      </c>
      <c r="F63">
        <f>IF(B63&gt;15,"Bulk","Normal")</f>
        <v/>
      </c>
      <c r="G63">
        <f>IF(AND(B63&gt;10,C63&gt;0),"Bulk Discount","")</f>
        <v/>
      </c>
      <c r="H63">
        <f>IF(OR(D63="North",D63="South"),"N/S","E/W")</f>
        <v/>
      </c>
      <c r="I63">
        <f>IF(B63&gt;20,"High",IF(B63&gt;10,"Medium","Low"))</f>
        <v/>
      </c>
      <c r="J63" s="4">
        <f>IF(E63="Online",0.02,IF(E63="Retail Store",0.05,0.08))</f>
        <v/>
      </c>
      <c r="K63" s="10">
        <f>IFERROR(B63/Sales!I63,0)</f>
        <v/>
      </c>
      <c r="L63">
        <f>IF(OR(AND(D63="North",E63&lt;&gt;"Online"),AND(D63&lt;&gt;"North",E63="Online")),TRUE,FALSE)</f>
        <v/>
      </c>
    </row>
    <row r="64">
      <c r="A64">
        <f>Sales!A64</f>
        <v/>
      </c>
      <c r="B64">
        <f>Sales!H64</f>
        <v/>
      </c>
      <c r="C64" s="4">
        <f>Sales!J64</f>
        <v/>
      </c>
      <c r="D64">
        <f>Sales!C64</f>
        <v/>
      </c>
      <c r="E64">
        <f>Sales!E64</f>
        <v/>
      </c>
      <c r="F64">
        <f>IF(B64&gt;15,"Bulk","Normal")</f>
        <v/>
      </c>
      <c r="G64">
        <f>IF(AND(B64&gt;10,C64&gt;0),"Bulk Discount","")</f>
        <v/>
      </c>
      <c r="H64">
        <f>IF(OR(D64="North",D64="South"),"N/S","E/W")</f>
        <v/>
      </c>
      <c r="I64">
        <f>IF(B64&gt;20,"High",IF(B64&gt;10,"Medium","Low"))</f>
        <v/>
      </c>
      <c r="J64" s="4">
        <f>IF(E64="Online",0.02,IF(E64="Retail Store",0.05,0.08))</f>
        <v/>
      </c>
      <c r="K64" s="10">
        <f>IFERROR(B64/Sales!I64,0)</f>
        <v/>
      </c>
      <c r="L64">
        <f>IF(OR(AND(D64="North",E64&lt;&gt;"Online"),AND(D64&lt;&gt;"North",E64="Online")),TRUE,FALSE)</f>
        <v/>
      </c>
    </row>
    <row r="65">
      <c r="A65">
        <f>Sales!A65</f>
        <v/>
      </c>
      <c r="B65">
        <f>Sales!H65</f>
        <v/>
      </c>
      <c r="C65" s="4">
        <f>Sales!J65</f>
        <v/>
      </c>
      <c r="D65">
        <f>Sales!C65</f>
        <v/>
      </c>
      <c r="E65">
        <f>Sales!E65</f>
        <v/>
      </c>
      <c r="F65">
        <f>IF(B65&gt;15,"Bulk","Normal")</f>
        <v/>
      </c>
      <c r="G65">
        <f>IF(AND(B65&gt;10,C65&gt;0),"Bulk Discount","")</f>
        <v/>
      </c>
      <c r="H65">
        <f>IF(OR(D65="North",D65="South"),"N/S","E/W")</f>
        <v/>
      </c>
      <c r="I65">
        <f>IF(B65&gt;20,"High",IF(B65&gt;10,"Medium","Low"))</f>
        <v/>
      </c>
      <c r="J65" s="4">
        <f>IF(E65="Online",0.02,IF(E65="Retail Store",0.05,0.08))</f>
        <v/>
      </c>
      <c r="K65" s="10">
        <f>IFERROR(B65/Sales!I65,0)</f>
        <v/>
      </c>
      <c r="L65">
        <f>IF(OR(AND(D65="North",E65&lt;&gt;"Online"),AND(D65&lt;&gt;"North",E65="Online")),TRUE,FALSE)</f>
        <v/>
      </c>
    </row>
    <row r="66">
      <c r="A66">
        <f>Sales!A66</f>
        <v/>
      </c>
      <c r="B66">
        <f>Sales!H66</f>
        <v/>
      </c>
      <c r="C66" s="4">
        <f>Sales!J66</f>
        <v/>
      </c>
      <c r="D66">
        <f>Sales!C66</f>
        <v/>
      </c>
      <c r="E66">
        <f>Sales!E66</f>
        <v/>
      </c>
      <c r="F66">
        <f>IF(B66&gt;15,"Bulk","Normal")</f>
        <v/>
      </c>
      <c r="G66">
        <f>IF(AND(B66&gt;10,C66&gt;0),"Bulk Discount","")</f>
        <v/>
      </c>
      <c r="H66">
        <f>IF(OR(D66="North",D66="South"),"N/S","E/W")</f>
        <v/>
      </c>
      <c r="I66">
        <f>IF(B66&gt;20,"High",IF(B66&gt;10,"Medium","Low"))</f>
        <v/>
      </c>
      <c r="J66" s="4">
        <f>IF(E66="Online",0.02,IF(E66="Retail Store",0.05,0.08))</f>
        <v/>
      </c>
      <c r="K66" s="10">
        <f>IFERROR(B66/Sales!I66,0)</f>
        <v/>
      </c>
      <c r="L66">
        <f>IF(OR(AND(D66="North",E66&lt;&gt;"Online"),AND(D66&lt;&gt;"North",E66="Online")),TRUE,FALSE)</f>
        <v/>
      </c>
    </row>
    <row r="67">
      <c r="A67">
        <f>Sales!A67</f>
        <v/>
      </c>
      <c r="B67">
        <f>Sales!H67</f>
        <v/>
      </c>
      <c r="C67" s="4">
        <f>Sales!J67</f>
        <v/>
      </c>
      <c r="D67">
        <f>Sales!C67</f>
        <v/>
      </c>
      <c r="E67">
        <f>Sales!E67</f>
        <v/>
      </c>
      <c r="F67">
        <f>IF(B67&gt;15,"Bulk","Normal")</f>
        <v/>
      </c>
      <c r="G67">
        <f>IF(AND(B67&gt;10,C67&gt;0),"Bulk Discount","")</f>
        <v/>
      </c>
      <c r="H67">
        <f>IF(OR(D67="North",D67="South"),"N/S","E/W")</f>
        <v/>
      </c>
      <c r="I67">
        <f>IF(B67&gt;20,"High",IF(B67&gt;10,"Medium","Low"))</f>
        <v/>
      </c>
      <c r="J67" s="4">
        <f>IF(E67="Online",0.02,IF(E67="Retail Store",0.05,0.08))</f>
        <v/>
      </c>
      <c r="K67" s="10">
        <f>IFERROR(B67/Sales!I67,0)</f>
        <v/>
      </c>
      <c r="L67">
        <f>IF(OR(AND(D67="North",E67&lt;&gt;"Online"),AND(D67&lt;&gt;"North",E67="Online")),TRUE,FALSE)</f>
        <v/>
      </c>
    </row>
    <row r="68">
      <c r="A68">
        <f>Sales!A68</f>
        <v/>
      </c>
      <c r="B68">
        <f>Sales!H68</f>
        <v/>
      </c>
      <c r="C68" s="4">
        <f>Sales!J68</f>
        <v/>
      </c>
      <c r="D68">
        <f>Sales!C68</f>
        <v/>
      </c>
      <c r="E68">
        <f>Sales!E68</f>
        <v/>
      </c>
      <c r="F68">
        <f>IF(B68&gt;15,"Bulk","Normal")</f>
        <v/>
      </c>
      <c r="G68">
        <f>IF(AND(B68&gt;10,C68&gt;0),"Bulk Discount","")</f>
        <v/>
      </c>
      <c r="H68">
        <f>IF(OR(D68="North",D68="South"),"N/S","E/W")</f>
        <v/>
      </c>
      <c r="I68">
        <f>IF(B68&gt;20,"High",IF(B68&gt;10,"Medium","Low"))</f>
        <v/>
      </c>
      <c r="J68" s="4">
        <f>IF(E68="Online",0.02,IF(E68="Retail Store",0.05,0.08))</f>
        <v/>
      </c>
      <c r="K68" s="10">
        <f>IFERROR(B68/Sales!I68,0)</f>
        <v/>
      </c>
      <c r="L68">
        <f>IF(OR(AND(D68="North",E68&lt;&gt;"Online"),AND(D68&lt;&gt;"North",E68="Online")),TRUE,FALSE)</f>
        <v/>
      </c>
    </row>
    <row r="69">
      <c r="A69">
        <f>Sales!A69</f>
        <v/>
      </c>
      <c r="B69">
        <f>Sales!H69</f>
        <v/>
      </c>
      <c r="C69" s="4">
        <f>Sales!J69</f>
        <v/>
      </c>
      <c r="D69">
        <f>Sales!C69</f>
        <v/>
      </c>
      <c r="E69">
        <f>Sales!E69</f>
        <v/>
      </c>
      <c r="F69">
        <f>IF(B69&gt;15,"Bulk","Normal")</f>
        <v/>
      </c>
      <c r="G69">
        <f>IF(AND(B69&gt;10,C69&gt;0),"Bulk Discount","")</f>
        <v/>
      </c>
      <c r="H69">
        <f>IF(OR(D69="North",D69="South"),"N/S","E/W")</f>
        <v/>
      </c>
      <c r="I69">
        <f>IF(B69&gt;20,"High",IF(B69&gt;10,"Medium","Low"))</f>
        <v/>
      </c>
      <c r="J69" s="4">
        <f>IF(E69="Online",0.02,IF(E69="Retail Store",0.05,0.08))</f>
        <v/>
      </c>
      <c r="K69" s="10">
        <f>IFERROR(B69/Sales!I69,0)</f>
        <v/>
      </c>
      <c r="L69">
        <f>IF(OR(AND(D69="North",E69&lt;&gt;"Online"),AND(D69&lt;&gt;"North",E69="Online")),TRUE,FALSE)</f>
        <v/>
      </c>
    </row>
    <row r="70">
      <c r="A70">
        <f>Sales!A70</f>
        <v/>
      </c>
      <c r="B70">
        <f>Sales!H70</f>
        <v/>
      </c>
      <c r="C70" s="4">
        <f>Sales!J70</f>
        <v/>
      </c>
      <c r="D70">
        <f>Sales!C70</f>
        <v/>
      </c>
      <c r="E70">
        <f>Sales!E70</f>
        <v/>
      </c>
      <c r="F70">
        <f>IF(B70&gt;15,"Bulk","Normal")</f>
        <v/>
      </c>
      <c r="G70">
        <f>IF(AND(B70&gt;10,C70&gt;0),"Bulk Discount","")</f>
        <v/>
      </c>
      <c r="H70">
        <f>IF(OR(D70="North",D70="South"),"N/S","E/W")</f>
        <v/>
      </c>
      <c r="I70">
        <f>IF(B70&gt;20,"High",IF(B70&gt;10,"Medium","Low"))</f>
        <v/>
      </c>
      <c r="J70" s="4">
        <f>IF(E70="Online",0.02,IF(E70="Retail Store",0.05,0.08))</f>
        <v/>
      </c>
      <c r="K70" s="10">
        <f>IFERROR(B70/Sales!I70,0)</f>
        <v/>
      </c>
      <c r="L70">
        <f>IF(OR(AND(D70="North",E70&lt;&gt;"Online"),AND(D70&lt;&gt;"North",E70="Online")),TRUE,FALSE)</f>
        <v/>
      </c>
    </row>
    <row r="71">
      <c r="A71">
        <f>Sales!A71</f>
        <v/>
      </c>
      <c r="B71">
        <f>Sales!H71</f>
        <v/>
      </c>
      <c r="C71" s="4">
        <f>Sales!J71</f>
        <v/>
      </c>
      <c r="D71">
        <f>Sales!C71</f>
        <v/>
      </c>
      <c r="E71">
        <f>Sales!E71</f>
        <v/>
      </c>
      <c r="F71">
        <f>IF(B71&gt;15,"Bulk","Normal")</f>
        <v/>
      </c>
      <c r="G71">
        <f>IF(AND(B71&gt;10,C71&gt;0),"Bulk Discount","")</f>
        <v/>
      </c>
      <c r="H71">
        <f>IF(OR(D71="North",D71="South"),"N/S","E/W")</f>
        <v/>
      </c>
      <c r="I71">
        <f>IF(B71&gt;20,"High",IF(B71&gt;10,"Medium","Low"))</f>
        <v/>
      </c>
      <c r="J71" s="4">
        <f>IF(E71="Online",0.02,IF(E71="Retail Store",0.05,0.08))</f>
        <v/>
      </c>
      <c r="K71" s="10">
        <f>IFERROR(B71/Sales!I71,0)</f>
        <v/>
      </c>
      <c r="L71">
        <f>IF(OR(AND(D71="North",E71&lt;&gt;"Online"),AND(D71&lt;&gt;"North",E71="Online")),TRUE,FALSE)</f>
        <v/>
      </c>
    </row>
    <row r="72">
      <c r="A72">
        <f>Sales!A72</f>
        <v/>
      </c>
      <c r="B72">
        <f>Sales!H72</f>
        <v/>
      </c>
      <c r="C72" s="4">
        <f>Sales!J72</f>
        <v/>
      </c>
      <c r="D72">
        <f>Sales!C72</f>
        <v/>
      </c>
      <c r="E72">
        <f>Sales!E72</f>
        <v/>
      </c>
      <c r="F72">
        <f>IF(B72&gt;15,"Bulk","Normal")</f>
        <v/>
      </c>
      <c r="G72">
        <f>IF(AND(B72&gt;10,C72&gt;0),"Bulk Discount","")</f>
        <v/>
      </c>
      <c r="H72">
        <f>IF(OR(D72="North",D72="South"),"N/S","E/W")</f>
        <v/>
      </c>
      <c r="I72">
        <f>IF(B72&gt;20,"High",IF(B72&gt;10,"Medium","Low"))</f>
        <v/>
      </c>
      <c r="J72" s="4">
        <f>IF(E72="Online",0.02,IF(E72="Retail Store",0.05,0.08))</f>
        <v/>
      </c>
      <c r="K72" s="10">
        <f>IFERROR(B72/Sales!I72,0)</f>
        <v/>
      </c>
      <c r="L72">
        <f>IF(OR(AND(D72="North",E72&lt;&gt;"Online"),AND(D72&lt;&gt;"North",E72="Online")),TRUE,FALSE)</f>
        <v/>
      </c>
    </row>
    <row r="73">
      <c r="A73">
        <f>Sales!A73</f>
        <v/>
      </c>
      <c r="B73">
        <f>Sales!H73</f>
        <v/>
      </c>
      <c r="C73" s="4">
        <f>Sales!J73</f>
        <v/>
      </c>
      <c r="D73">
        <f>Sales!C73</f>
        <v/>
      </c>
      <c r="E73">
        <f>Sales!E73</f>
        <v/>
      </c>
      <c r="F73">
        <f>IF(B73&gt;15,"Bulk","Normal")</f>
        <v/>
      </c>
      <c r="G73">
        <f>IF(AND(B73&gt;10,C73&gt;0),"Bulk Discount","")</f>
        <v/>
      </c>
      <c r="H73">
        <f>IF(OR(D73="North",D73="South"),"N/S","E/W")</f>
        <v/>
      </c>
      <c r="I73">
        <f>IF(B73&gt;20,"High",IF(B73&gt;10,"Medium","Low"))</f>
        <v/>
      </c>
      <c r="J73" s="4">
        <f>IF(E73="Online",0.02,IF(E73="Retail Store",0.05,0.08))</f>
        <v/>
      </c>
      <c r="K73" s="10">
        <f>IFERROR(B73/Sales!I73,0)</f>
        <v/>
      </c>
      <c r="L73">
        <f>IF(OR(AND(D73="North",E73&lt;&gt;"Online"),AND(D73&lt;&gt;"North",E73="Online")),TRUE,FALSE)</f>
        <v/>
      </c>
    </row>
    <row r="74">
      <c r="A74">
        <f>Sales!A74</f>
        <v/>
      </c>
      <c r="B74">
        <f>Sales!H74</f>
        <v/>
      </c>
      <c r="C74" s="4">
        <f>Sales!J74</f>
        <v/>
      </c>
      <c r="D74">
        <f>Sales!C74</f>
        <v/>
      </c>
      <c r="E74">
        <f>Sales!E74</f>
        <v/>
      </c>
      <c r="F74">
        <f>IF(B74&gt;15,"Bulk","Normal")</f>
        <v/>
      </c>
      <c r="G74">
        <f>IF(AND(B74&gt;10,C74&gt;0),"Bulk Discount","")</f>
        <v/>
      </c>
      <c r="H74">
        <f>IF(OR(D74="North",D74="South"),"N/S","E/W")</f>
        <v/>
      </c>
      <c r="I74">
        <f>IF(B74&gt;20,"High",IF(B74&gt;10,"Medium","Low"))</f>
        <v/>
      </c>
      <c r="J74" s="4">
        <f>IF(E74="Online",0.02,IF(E74="Retail Store",0.05,0.08))</f>
        <v/>
      </c>
      <c r="K74" s="10">
        <f>IFERROR(B74/Sales!I74,0)</f>
        <v/>
      </c>
      <c r="L74">
        <f>IF(OR(AND(D74="North",E74&lt;&gt;"Online"),AND(D74&lt;&gt;"North",E74="Online")),TRUE,FALSE)</f>
        <v/>
      </c>
    </row>
    <row r="75">
      <c r="A75">
        <f>Sales!A75</f>
        <v/>
      </c>
      <c r="B75">
        <f>Sales!H75</f>
        <v/>
      </c>
      <c r="C75" s="4">
        <f>Sales!J75</f>
        <v/>
      </c>
      <c r="D75">
        <f>Sales!C75</f>
        <v/>
      </c>
      <c r="E75">
        <f>Sales!E75</f>
        <v/>
      </c>
      <c r="F75">
        <f>IF(B75&gt;15,"Bulk","Normal")</f>
        <v/>
      </c>
      <c r="G75">
        <f>IF(AND(B75&gt;10,C75&gt;0),"Bulk Discount","")</f>
        <v/>
      </c>
      <c r="H75">
        <f>IF(OR(D75="North",D75="South"),"N/S","E/W")</f>
        <v/>
      </c>
      <c r="I75">
        <f>IF(B75&gt;20,"High",IF(B75&gt;10,"Medium","Low"))</f>
        <v/>
      </c>
      <c r="J75" s="4">
        <f>IF(E75="Online",0.02,IF(E75="Retail Store",0.05,0.08))</f>
        <v/>
      </c>
      <c r="K75" s="10">
        <f>IFERROR(B75/Sales!I75,0)</f>
        <v/>
      </c>
      <c r="L75">
        <f>IF(OR(AND(D75="North",E75&lt;&gt;"Online"),AND(D75&lt;&gt;"North",E75="Online")),TRUE,FALSE)</f>
        <v/>
      </c>
    </row>
    <row r="76">
      <c r="A76">
        <f>Sales!A76</f>
        <v/>
      </c>
      <c r="B76">
        <f>Sales!H76</f>
        <v/>
      </c>
      <c r="C76" s="4">
        <f>Sales!J76</f>
        <v/>
      </c>
      <c r="D76">
        <f>Sales!C76</f>
        <v/>
      </c>
      <c r="E76">
        <f>Sales!E76</f>
        <v/>
      </c>
      <c r="F76">
        <f>IF(B76&gt;15,"Bulk","Normal")</f>
        <v/>
      </c>
      <c r="G76">
        <f>IF(AND(B76&gt;10,C76&gt;0),"Bulk Discount","")</f>
        <v/>
      </c>
      <c r="H76">
        <f>IF(OR(D76="North",D76="South"),"N/S","E/W")</f>
        <v/>
      </c>
      <c r="I76">
        <f>IF(B76&gt;20,"High",IF(B76&gt;10,"Medium","Low"))</f>
        <v/>
      </c>
      <c r="J76" s="4">
        <f>IF(E76="Online",0.02,IF(E76="Retail Store",0.05,0.08))</f>
        <v/>
      </c>
      <c r="K76" s="10">
        <f>IFERROR(B76/Sales!I76,0)</f>
        <v/>
      </c>
      <c r="L76">
        <f>IF(OR(AND(D76="North",E76&lt;&gt;"Online"),AND(D76&lt;&gt;"North",E76="Online")),TRUE,FALSE)</f>
        <v/>
      </c>
    </row>
    <row r="77">
      <c r="A77">
        <f>Sales!A77</f>
        <v/>
      </c>
      <c r="B77">
        <f>Sales!H77</f>
        <v/>
      </c>
      <c r="C77" s="4">
        <f>Sales!J77</f>
        <v/>
      </c>
      <c r="D77">
        <f>Sales!C77</f>
        <v/>
      </c>
      <c r="E77">
        <f>Sales!E77</f>
        <v/>
      </c>
      <c r="F77">
        <f>IF(B77&gt;15,"Bulk","Normal")</f>
        <v/>
      </c>
      <c r="G77">
        <f>IF(AND(B77&gt;10,C77&gt;0),"Bulk Discount","")</f>
        <v/>
      </c>
      <c r="H77">
        <f>IF(OR(D77="North",D77="South"),"N/S","E/W")</f>
        <v/>
      </c>
      <c r="I77">
        <f>IF(B77&gt;20,"High",IF(B77&gt;10,"Medium","Low"))</f>
        <v/>
      </c>
      <c r="J77" s="4">
        <f>IF(E77="Online",0.02,IF(E77="Retail Store",0.05,0.08))</f>
        <v/>
      </c>
      <c r="K77" s="10">
        <f>IFERROR(B77/Sales!I77,0)</f>
        <v/>
      </c>
      <c r="L77">
        <f>IF(OR(AND(D77="North",E77&lt;&gt;"Online"),AND(D77&lt;&gt;"North",E77="Online")),TRUE,FALSE)</f>
        <v/>
      </c>
    </row>
    <row r="78">
      <c r="A78">
        <f>Sales!A78</f>
        <v/>
      </c>
      <c r="B78">
        <f>Sales!H78</f>
        <v/>
      </c>
      <c r="C78" s="4">
        <f>Sales!J78</f>
        <v/>
      </c>
      <c r="D78">
        <f>Sales!C78</f>
        <v/>
      </c>
      <c r="E78">
        <f>Sales!E78</f>
        <v/>
      </c>
      <c r="F78">
        <f>IF(B78&gt;15,"Bulk","Normal")</f>
        <v/>
      </c>
      <c r="G78">
        <f>IF(AND(B78&gt;10,C78&gt;0),"Bulk Discount","")</f>
        <v/>
      </c>
      <c r="H78">
        <f>IF(OR(D78="North",D78="South"),"N/S","E/W")</f>
        <v/>
      </c>
      <c r="I78">
        <f>IF(B78&gt;20,"High",IF(B78&gt;10,"Medium","Low"))</f>
        <v/>
      </c>
      <c r="J78" s="4">
        <f>IF(E78="Online",0.02,IF(E78="Retail Store",0.05,0.08))</f>
        <v/>
      </c>
      <c r="K78" s="10">
        <f>IFERROR(B78/Sales!I78,0)</f>
        <v/>
      </c>
      <c r="L78">
        <f>IF(OR(AND(D78="North",E78&lt;&gt;"Online"),AND(D78&lt;&gt;"North",E78="Online")),TRUE,FALSE)</f>
        <v/>
      </c>
    </row>
    <row r="79">
      <c r="A79">
        <f>Sales!A79</f>
        <v/>
      </c>
      <c r="B79">
        <f>Sales!H79</f>
        <v/>
      </c>
      <c r="C79" s="4">
        <f>Sales!J79</f>
        <v/>
      </c>
      <c r="D79">
        <f>Sales!C79</f>
        <v/>
      </c>
      <c r="E79">
        <f>Sales!E79</f>
        <v/>
      </c>
      <c r="F79">
        <f>IF(B79&gt;15,"Bulk","Normal")</f>
        <v/>
      </c>
      <c r="G79">
        <f>IF(AND(B79&gt;10,C79&gt;0),"Bulk Discount","")</f>
        <v/>
      </c>
      <c r="H79">
        <f>IF(OR(D79="North",D79="South"),"N/S","E/W")</f>
        <v/>
      </c>
      <c r="I79">
        <f>IF(B79&gt;20,"High",IF(B79&gt;10,"Medium","Low"))</f>
        <v/>
      </c>
      <c r="J79" s="4">
        <f>IF(E79="Online",0.02,IF(E79="Retail Store",0.05,0.08))</f>
        <v/>
      </c>
      <c r="K79" s="10">
        <f>IFERROR(B79/Sales!I79,0)</f>
        <v/>
      </c>
      <c r="L79">
        <f>IF(OR(AND(D79="North",E79&lt;&gt;"Online"),AND(D79&lt;&gt;"North",E79="Online")),TRUE,FALSE)</f>
        <v/>
      </c>
    </row>
    <row r="80">
      <c r="A80">
        <f>Sales!A80</f>
        <v/>
      </c>
      <c r="B80">
        <f>Sales!H80</f>
        <v/>
      </c>
      <c r="C80" s="4">
        <f>Sales!J80</f>
        <v/>
      </c>
      <c r="D80">
        <f>Sales!C80</f>
        <v/>
      </c>
      <c r="E80">
        <f>Sales!E80</f>
        <v/>
      </c>
      <c r="F80">
        <f>IF(B80&gt;15,"Bulk","Normal")</f>
        <v/>
      </c>
      <c r="G80">
        <f>IF(AND(B80&gt;10,C80&gt;0),"Bulk Discount","")</f>
        <v/>
      </c>
      <c r="H80">
        <f>IF(OR(D80="North",D80="South"),"N/S","E/W")</f>
        <v/>
      </c>
      <c r="I80">
        <f>IF(B80&gt;20,"High",IF(B80&gt;10,"Medium","Low"))</f>
        <v/>
      </c>
      <c r="J80" s="4">
        <f>IF(E80="Online",0.02,IF(E80="Retail Store",0.05,0.08))</f>
        <v/>
      </c>
      <c r="K80" s="10">
        <f>IFERROR(B80/Sales!I80,0)</f>
        <v/>
      </c>
      <c r="L80">
        <f>IF(OR(AND(D80="North",E80&lt;&gt;"Online"),AND(D80&lt;&gt;"North",E80="Online")),TRUE,FALSE)</f>
        <v/>
      </c>
    </row>
    <row r="81">
      <c r="A81">
        <f>Sales!A81</f>
        <v/>
      </c>
      <c r="B81">
        <f>Sales!H81</f>
        <v/>
      </c>
      <c r="C81" s="4">
        <f>Sales!J81</f>
        <v/>
      </c>
      <c r="D81">
        <f>Sales!C81</f>
        <v/>
      </c>
      <c r="E81">
        <f>Sales!E81</f>
        <v/>
      </c>
      <c r="F81">
        <f>IF(B81&gt;15,"Bulk","Normal")</f>
        <v/>
      </c>
      <c r="G81">
        <f>IF(AND(B81&gt;10,C81&gt;0),"Bulk Discount","")</f>
        <v/>
      </c>
      <c r="H81">
        <f>IF(OR(D81="North",D81="South"),"N/S","E/W")</f>
        <v/>
      </c>
      <c r="I81">
        <f>IF(B81&gt;20,"High",IF(B81&gt;10,"Medium","Low"))</f>
        <v/>
      </c>
      <c r="J81" s="4">
        <f>IF(E81="Online",0.02,IF(E81="Retail Store",0.05,0.08))</f>
        <v/>
      </c>
      <c r="K81" s="10">
        <f>IFERROR(B81/Sales!I81,0)</f>
        <v/>
      </c>
      <c r="L81">
        <f>IF(OR(AND(D81="North",E81&lt;&gt;"Online"),AND(D81&lt;&gt;"North",E81="Online")),TRUE,FALSE)</f>
        <v/>
      </c>
    </row>
    <row r="82">
      <c r="A82">
        <f>Sales!A82</f>
        <v/>
      </c>
      <c r="B82">
        <f>Sales!H82</f>
        <v/>
      </c>
      <c r="C82" s="4">
        <f>Sales!J82</f>
        <v/>
      </c>
      <c r="D82">
        <f>Sales!C82</f>
        <v/>
      </c>
      <c r="E82">
        <f>Sales!E82</f>
        <v/>
      </c>
      <c r="F82">
        <f>IF(B82&gt;15,"Bulk","Normal")</f>
        <v/>
      </c>
      <c r="G82">
        <f>IF(AND(B82&gt;10,C82&gt;0),"Bulk Discount","")</f>
        <v/>
      </c>
      <c r="H82">
        <f>IF(OR(D82="North",D82="South"),"N/S","E/W")</f>
        <v/>
      </c>
      <c r="I82">
        <f>IF(B82&gt;20,"High",IF(B82&gt;10,"Medium","Low"))</f>
        <v/>
      </c>
      <c r="J82" s="4">
        <f>IF(E82="Online",0.02,IF(E82="Retail Store",0.05,0.08))</f>
        <v/>
      </c>
      <c r="K82" s="10">
        <f>IFERROR(B82/Sales!I82,0)</f>
        <v/>
      </c>
      <c r="L82">
        <f>IF(OR(AND(D82="North",E82&lt;&gt;"Online"),AND(D82&lt;&gt;"North",E82="Online")),TRUE,FALSE)</f>
        <v/>
      </c>
    </row>
    <row r="83">
      <c r="A83">
        <f>Sales!A83</f>
        <v/>
      </c>
      <c r="B83">
        <f>Sales!H83</f>
        <v/>
      </c>
      <c r="C83" s="4">
        <f>Sales!J83</f>
        <v/>
      </c>
      <c r="D83">
        <f>Sales!C83</f>
        <v/>
      </c>
      <c r="E83">
        <f>Sales!E83</f>
        <v/>
      </c>
      <c r="F83">
        <f>IF(B83&gt;15,"Bulk","Normal")</f>
        <v/>
      </c>
      <c r="G83">
        <f>IF(AND(B83&gt;10,C83&gt;0),"Bulk Discount","")</f>
        <v/>
      </c>
      <c r="H83">
        <f>IF(OR(D83="North",D83="South"),"N/S","E/W")</f>
        <v/>
      </c>
      <c r="I83">
        <f>IF(B83&gt;20,"High",IF(B83&gt;10,"Medium","Low"))</f>
        <v/>
      </c>
      <c r="J83" s="4">
        <f>IF(E83="Online",0.02,IF(E83="Retail Store",0.05,0.08))</f>
        <v/>
      </c>
      <c r="K83" s="10">
        <f>IFERROR(B83/Sales!I83,0)</f>
        <v/>
      </c>
      <c r="L83">
        <f>IF(OR(AND(D83="North",E83&lt;&gt;"Online"),AND(D83&lt;&gt;"North",E83="Online")),TRUE,FALSE)</f>
        <v/>
      </c>
    </row>
    <row r="84">
      <c r="A84">
        <f>Sales!A84</f>
        <v/>
      </c>
      <c r="B84">
        <f>Sales!H84</f>
        <v/>
      </c>
      <c r="C84" s="4">
        <f>Sales!J84</f>
        <v/>
      </c>
      <c r="D84">
        <f>Sales!C84</f>
        <v/>
      </c>
      <c r="E84">
        <f>Sales!E84</f>
        <v/>
      </c>
      <c r="F84">
        <f>IF(B84&gt;15,"Bulk","Normal")</f>
        <v/>
      </c>
      <c r="G84">
        <f>IF(AND(B84&gt;10,C84&gt;0),"Bulk Discount","")</f>
        <v/>
      </c>
      <c r="H84">
        <f>IF(OR(D84="North",D84="South"),"N/S","E/W")</f>
        <v/>
      </c>
      <c r="I84">
        <f>IF(B84&gt;20,"High",IF(B84&gt;10,"Medium","Low"))</f>
        <v/>
      </c>
      <c r="J84" s="4">
        <f>IF(E84="Online",0.02,IF(E84="Retail Store",0.05,0.08))</f>
        <v/>
      </c>
      <c r="K84" s="10">
        <f>IFERROR(B84/Sales!I84,0)</f>
        <v/>
      </c>
      <c r="L84">
        <f>IF(OR(AND(D84="North",E84&lt;&gt;"Online"),AND(D84&lt;&gt;"North",E84="Online")),TRUE,FALSE)</f>
        <v/>
      </c>
    </row>
    <row r="85">
      <c r="A85">
        <f>Sales!A85</f>
        <v/>
      </c>
      <c r="B85">
        <f>Sales!H85</f>
        <v/>
      </c>
      <c r="C85" s="4">
        <f>Sales!J85</f>
        <v/>
      </c>
      <c r="D85">
        <f>Sales!C85</f>
        <v/>
      </c>
      <c r="E85">
        <f>Sales!E85</f>
        <v/>
      </c>
      <c r="F85">
        <f>IF(B85&gt;15,"Bulk","Normal")</f>
        <v/>
      </c>
      <c r="G85">
        <f>IF(AND(B85&gt;10,C85&gt;0),"Bulk Discount","")</f>
        <v/>
      </c>
      <c r="H85">
        <f>IF(OR(D85="North",D85="South"),"N/S","E/W")</f>
        <v/>
      </c>
      <c r="I85">
        <f>IF(B85&gt;20,"High",IF(B85&gt;10,"Medium","Low"))</f>
        <v/>
      </c>
      <c r="J85" s="4">
        <f>IF(E85="Online",0.02,IF(E85="Retail Store",0.05,0.08))</f>
        <v/>
      </c>
      <c r="K85" s="10">
        <f>IFERROR(B85/Sales!I85,0)</f>
        <v/>
      </c>
      <c r="L85">
        <f>IF(OR(AND(D85="North",E85&lt;&gt;"Online"),AND(D85&lt;&gt;"North",E85="Online")),TRUE,FALSE)</f>
        <v/>
      </c>
    </row>
    <row r="86">
      <c r="A86">
        <f>Sales!A86</f>
        <v/>
      </c>
      <c r="B86">
        <f>Sales!H86</f>
        <v/>
      </c>
      <c r="C86" s="4">
        <f>Sales!J86</f>
        <v/>
      </c>
      <c r="D86">
        <f>Sales!C86</f>
        <v/>
      </c>
      <c r="E86">
        <f>Sales!E86</f>
        <v/>
      </c>
      <c r="F86">
        <f>IF(B86&gt;15,"Bulk","Normal")</f>
        <v/>
      </c>
      <c r="G86">
        <f>IF(AND(B86&gt;10,C86&gt;0),"Bulk Discount","")</f>
        <v/>
      </c>
      <c r="H86">
        <f>IF(OR(D86="North",D86="South"),"N/S","E/W")</f>
        <v/>
      </c>
      <c r="I86">
        <f>IF(B86&gt;20,"High",IF(B86&gt;10,"Medium","Low"))</f>
        <v/>
      </c>
      <c r="J86" s="4">
        <f>IF(E86="Online",0.02,IF(E86="Retail Store",0.05,0.08))</f>
        <v/>
      </c>
      <c r="K86" s="10">
        <f>IFERROR(B86/Sales!I86,0)</f>
        <v/>
      </c>
      <c r="L86">
        <f>IF(OR(AND(D86="North",E86&lt;&gt;"Online"),AND(D86&lt;&gt;"North",E86="Online")),TRUE,FALSE)</f>
        <v/>
      </c>
    </row>
    <row r="87">
      <c r="A87">
        <f>Sales!A87</f>
        <v/>
      </c>
      <c r="B87">
        <f>Sales!H87</f>
        <v/>
      </c>
      <c r="C87" s="4">
        <f>Sales!J87</f>
        <v/>
      </c>
      <c r="D87">
        <f>Sales!C87</f>
        <v/>
      </c>
      <c r="E87">
        <f>Sales!E87</f>
        <v/>
      </c>
      <c r="F87">
        <f>IF(B87&gt;15,"Bulk","Normal")</f>
        <v/>
      </c>
      <c r="G87">
        <f>IF(AND(B87&gt;10,C87&gt;0),"Bulk Discount","")</f>
        <v/>
      </c>
      <c r="H87">
        <f>IF(OR(D87="North",D87="South"),"N/S","E/W")</f>
        <v/>
      </c>
      <c r="I87">
        <f>IF(B87&gt;20,"High",IF(B87&gt;10,"Medium","Low"))</f>
        <v/>
      </c>
      <c r="J87" s="4">
        <f>IF(E87="Online",0.02,IF(E87="Retail Store",0.05,0.08))</f>
        <v/>
      </c>
      <c r="K87" s="10">
        <f>IFERROR(B87/Sales!I87,0)</f>
        <v/>
      </c>
      <c r="L87">
        <f>IF(OR(AND(D87="North",E87&lt;&gt;"Online"),AND(D87&lt;&gt;"North",E87="Online")),TRUE,FALSE)</f>
        <v/>
      </c>
    </row>
    <row r="88">
      <c r="A88">
        <f>Sales!A88</f>
        <v/>
      </c>
      <c r="B88">
        <f>Sales!H88</f>
        <v/>
      </c>
      <c r="C88" s="4">
        <f>Sales!J88</f>
        <v/>
      </c>
      <c r="D88">
        <f>Sales!C88</f>
        <v/>
      </c>
      <c r="E88">
        <f>Sales!E88</f>
        <v/>
      </c>
      <c r="F88">
        <f>IF(B88&gt;15,"Bulk","Normal")</f>
        <v/>
      </c>
      <c r="G88">
        <f>IF(AND(B88&gt;10,C88&gt;0),"Bulk Discount","")</f>
        <v/>
      </c>
      <c r="H88">
        <f>IF(OR(D88="North",D88="South"),"N/S","E/W")</f>
        <v/>
      </c>
      <c r="I88">
        <f>IF(B88&gt;20,"High",IF(B88&gt;10,"Medium","Low"))</f>
        <v/>
      </c>
      <c r="J88" s="4">
        <f>IF(E88="Online",0.02,IF(E88="Retail Store",0.05,0.08))</f>
        <v/>
      </c>
      <c r="K88" s="10">
        <f>IFERROR(B88/Sales!I88,0)</f>
        <v/>
      </c>
      <c r="L88">
        <f>IF(OR(AND(D88="North",E88&lt;&gt;"Online"),AND(D88&lt;&gt;"North",E88="Online")),TRUE,FALSE)</f>
        <v/>
      </c>
    </row>
    <row r="89">
      <c r="A89">
        <f>Sales!A89</f>
        <v/>
      </c>
      <c r="B89">
        <f>Sales!H89</f>
        <v/>
      </c>
      <c r="C89" s="4">
        <f>Sales!J89</f>
        <v/>
      </c>
      <c r="D89">
        <f>Sales!C89</f>
        <v/>
      </c>
      <c r="E89">
        <f>Sales!E89</f>
        <v/>
      </c>
      <c r="F89">
        <f>IF(B89&gt;15,"Bulk","Normal")</f>
        <v/>
      </c>
      <c r="G89">
        <f>IF(AND(B89&gt;10,C89&gt;0),"Bulk Discount","")</f>
        <v/>
      </c>
      <c r="H89">
        <f>IF(OR(D89="North",D89="South"),"N/S","E/W")</f>
        <v/>
      </c>
      <c r="I89">
        <f>IF(B89&gt;20,"High",IF(B89&gt;10,"Medium","Low"))</f>
        <v/>
      </c>
      <c r="J89" s="4">
        <f>IF(E89="Online",0.02,IF(E89="Retail Store",0.05,0.08))</f>
        <v/>
      </c>
      <c r="K89" s="10">
        <f>IFERROR(B89/Sales!I89,0)</f>
        <v/>
      </c>
      <c r="L89">
        <f>IF(OR(AND(D89="North",E89&lt;&gt;"Online"),AND(D89&lt;&gt;"North",E89="Online")),TRUE,FALSE)</f>
        <v/>
      </c>
    </row>
    <row r="90">
      <c r="A90">
        <f>Sales!A90</f>
        <v/>
      </c>
      <c r="B90">
        <f>Sales!H90</f>
        <v/>
      </c>
      <c r="C90" s="4">
        <f>Sales!J90</f>
        <v/>
      </c>
      <c r="D90">
        <f>Sales!C90</f>
        <v/>
      </c>
      <c r="E90">
        <f>Sales!E90</f>
        <v/>
      </c>
      <c r="F90">
        <f>IF(B90&gt;15,"Bulk","Normal")</f>
        <v/>
      </c>
      <c r="G90">
        <f>IF(AND(B90&gt;10,C90&gt;0),"Bulk Discount","")</f>
        <v/>
      </c>
      <c r="H90">
        <f>IF(OR(D90="North",D90="South"),"N/S","E/W")</f>
        <v/>
      </c>
      <c r="I90">
        <f>IF(B90&gt;20,"High",IF(B90&gt;10,"Medium","Low"))</f>
        <v/>
      </c>
      <c r="J90" s="4">
        <f>IF(E90="Online",0.02,IF(E90="Retail Store",0.05,0.08))</f>
        <v/>
      </c>
      <c r="K90" s="10">
        <f>IFERROR(B90/Sales!I90,0)</f>
        <v/>
      </c>
      <c r="L90">
        <f>IF(OR(AND(D90="North",E90&lt;&gt;"Online"),AND(D90&lt;&gt;"North",E90="Online")),TRUE,FALSE)</f>
        <v/>
      </c>
    </row>
    <row r="91">
      <c r="A91">
        <f>Sales!A91</f>
        <v/>
      </c>
      <c r="B91">
        <f>Sales!H91</f>
        <v/>
      </c>
      <c r="C91" s="4">
        <f>Sales!J91</f>
        <v/>
      </c>
      <c r="D91">
        <f>Sales!C91</f>
        <v/>
      </c>
      <c r="E91">
        <f>Sales!E91</f>
        <v/>
      </c>
      <c r="F91">
        <f>IF(B91&gt;15,"Bulk","Normal")</f>
        <v/>
      </c>
      <c r="G91">
        <f>IF(AND(B91&gt;10,C91&gt;0),"Bulk Discount","")</f>
        <v/>
      </c>
      <c r="H91">
        <f>IF(OR(D91="North",D91="South"),"N/S","E/W")</f>
        <v/>
      </c>
      <c r="I91">
        <f>IF(B91&gt;20,"High",IF(B91&gt;10,"Medium","Low"))</f>
        <v/>
      </c>
      <c r="J91" s="4">
        <f>IF(E91="Online",0.02,IF(E91="Retail Store",0.05,0.08))</f>
        <v/>
      </c>
      <c r="K91" s="10">
        <f>IFERROR(B91/Sales!I91,0)</f>
        <v/>
      </c>
      <c r="L91">
        <f>IF(OR(AND(D91="North",E91&lt;&gt;"Online"),AND(D91&lt;&gt;"North",E91="Online")),TRUE,FALSE)</f>
        <v/>
      </c>
    </row>
    <row r="92">
      <c r="A92">
        <f>Sales!A92</f>
        <v/>
      </c>
      <c r="B92">
        <f>Sales!H92</f>
        <v/>
      </c>
      <c r="C92" s="4">
        <f>Sales!J92</f>
        <v/>
      </c>
      <c r="D92">
        <f>Sales!C92</f>
        <v/>
      </c>
      <c r="E92">
        <f>Sales!E92</f>
        <v/>
      </c>
      <c r="F92">
        <f>IF(B92&gt;15,"Bulk","Normal")</f>
        <v/>
      </c>
      <c r="G92">
        <f>IF(AND(B92&gt;10,C92&gt;0),"Bulk Discount","")</f>
        <v/>
      </c>
      <c r="H92">
        <f>IF(OR(D92="North",D92="South"),"N/S","E/W")</f>
        <v/>
      </c>
      <c r="I92">
        <f>IF(B92&gt;20,"High",IF(B92&gt;10,"Medium","Low"))</f>
        <v/>
      </c>
      <c r="J92" s="4">
        <f>IF(E92="Online",0.02,IF(E92="Retail Store",0.05,0.08))</f>
        <v/>
      </c>
      <c r="K92" s="10">
        <f>IFERROR(B92/Sales!I92,0)</f>
        <v/>
      </c>
      <c r="L92">
        <f>IF(OR(AND(D92="North",E92&lt;&gt;"Online"),AND(D92&lt;&gt;"North",E92="Online")),TRUE,FALSE)</f>
        <v/>
      </c>
    </row>
    <row r="93">
      <c r="A93">
        <f>Sales!A93</f>
        <v/>
      </c>
      <c r="B93">
        <f>Sales!H93</f>
        <v/>
      </c>
      <c r="C93" s="4">
        <f>Sales!J93</f>
        <v/>
      </c>
      <c r="D93">
        <f>Sales!C93</f>
        <v/>
      </c>
      <c r="E93">
        <f>Sales!E93</f>
        <v/>
      </c>
      <c r="F93">
        <f>IF(B93&gt;15,"Bulk","Normal")</f>
        <v/>
      </c>
      <c r="G93">
        <f>IF(AND(B93&gt;10,C93&gt;0),"Bulk Discount","")</f>
        <v/>
      </c>
      <c r="H93">
        <f>IF(OR(D93="North",D93="South"),"N/S","E/W")</f>
        <v/>
      </c>
      <c r="I93">
        <f>IF(B93&gt;20,"High",IF(B93&gt;10,"Medium","Low"))</f>
        <v/>
      </c>
      <c r="J93" s="4">
        <f>IF(E93="Online",0.02,IF(E93="Retail Store",0.05,0.08))</f>
        <v/>
      </c>
      <c r="K93" s="10">
        <f>IFERROR(B93/Sales!I93,0)</f>
        <v/>
      </c>
      <c r="L93">
        <f>IF(OR(AND(D93="North",E93&lt;&gt;"Online"),AND(D93&lt;&gt;"North",E93="Online")),TRUE,FALSE)</f>
        <v/>
      </c>
    </row>
    <row r="94">
      <c r="A94">
        <f>Sales!A94</f>
        <v/>
      </c>
      <c r="B94">
        <f>Sales!H94</f>
        <v/>
      </c>
      <c r="C94" s="4">
        <f>Sales!J94</f>
        <v/>
      </c>
      <c r="D94">
        <f>Sales!C94</f>
        <v/>
      </c>
      <c r="E94">
        <f>Sales!E94</f>
        <v/>
      </c>
      <c r="F94">
        <f>IF(B94&gt;15,"Bulk","Normal")</f>
        <v/>
      </c>
      <c r="G94">
        <f>IF(AND(B94&gt;10,C94&gt;0),"Bulk Discount","")</f>
        <v/>
      </c>
      <c r="H94">
        <f>IF(OR(D94="North",D94="South"),"N/S","E/W")</f>
        <v/>
      </c>
      <c r="I94">
        <f>IF(B94&gt;20,"High",IF(B94&gt;10,"Medium","Low"))</f>
        <v/>
      </c>
      <c r="J94" s="4">
        <f>IF(E94="Online",0.02,IF(E94="Retail Store",0.05,0.08))</f>
        <v/>
      </c>
      <c r="K94" s="10">
        <f>IFERROR(B94/Sales!I94,0)</f>
        <v/>
      </c>
      <c r="L94">
        <f>IF(OR(AND(D94="North",E94&lt;&gt;"Online"),AND(D94&lt;&gt;"North",E94="Online")),TRUE,FALSE)</f>
        <v/>
      </c>
    </row>
    <row r="95">
      <c r="A95">
        <f>Sales!A95</f>
        <v/>
      </c>
      <c r="B95">
        <f>Sales!H95</f>
        <v/>
      </c>
      <c r="C95" s="4">
        <f>Sales!J95</f>
        <v/>
      </c>
      <c r="D95">
        <f>Sales!C95</f>
        <v/>
      </c>
      <c r="E95">
        <f>Sales!E95</f>
        <v/>
      </c>
      <c r="F95">
        <f>IF(B95&gt;15,"Bulk","Normal")</f>
        <v/>
      </c>
      <c r="G95">
        <f>IF(AND(B95&gt;10,C95&gt;0),"Bulk Discount","")</f>
        <v/>
      </c>
      <c r="H95">
        <f>IF(OR(D95="North",D95="South"),"N/S","E/W")</f>
        <v/>
      </c>
      <c r="I95">
        <f>IF(B95&gt;20,"High",IF(B95&gt;10,"Medium","Low"))</f>
        <v/>
      </c>
      <c r="J95" s="4">
        <f>IF(E95="Online",0.02,IF(E95="Retail Store",0.05,0.08))</f>
        <v/>
      </c>
      <c r="K95" s="10">
        <f>IFERROR(B95/Sales!I95,0)</f>
        <v/>
      </c>
      <c r="L95">
        <f>IF(OR(AND(D95="North",E95&lt;&gt;"Online"),AND(D95&lt;&gt;"North",E95="Online")),TRUE,FALSE)</f>
        <v/>
      </c>
    </row>
    <row r="96">
      <c r="A96">
        <f>Sales!A96</f>
        <v/>
      </c>
      <c r="B96">
        <f>Sales!H96</f>
        <v/>
      </c>
      <c r="C96" s="4">
        <f>Sales!J96</f>
        <v/>
      </c>
      <c r="D96">
        <f>Sales!C96</f>
        <v/>
      </c>
      <c r="E96">
        <f>Sales!E96</f>
        <v/>
      </c>
      <c r="F96">
        <f>IF(B96&gt;15,"Bulk","Normal")</f>
        <v/>
      </c>
      <c r="G96">
        <f>IF(AND(B96&gt;10,C96&gt;0),"Bulk Discount","")</f>
        <v/>
      </c>
      <c r="H96">
        <f>IF(OR(D96="North",D96="South"),"N/S","E/W")</f>
        <v/>
      </c>
      <c r="I96">
        <f>IF(B96&gt;20,"High",IF(B96&gt;10,"Medium","Low"))</f>
        <v/>
      </c>
      <c r="J96" s="4">
        <f>IF(E96="Online",0.02,IF(E96="Retail Store",0.05,0.08))</f>
        <v/>
      </c>
      <c r="K96" s="10">
        <f>IFERROR(B96/Sales!I96,0)</f>
        <v/>
      </c>
      <c r="L96">
        <f>IF(OR(AND(D96="North",E96&lt;&gt;"Online"),AND(D96&lt;&gt;"North",E96="Online")),TRUE,FALSE)</f>
        <v/>
      </c>
    </row>
    <row r="97">
      <c r="A97">
        <f>Sales!A97</f>
        <v/>
      </c>
      <c r="B97">
        <f>Sales!H97</f>
        <v/>
      </c>
      <c r="C97" s="4">
        <f>Sales!J97</f>
        <v/>
      </c>
      <c r="D97">
        <f>Sales!C97</f>
        <v/>
      </c>
      <c r="E97">
        <f>Sales!E97</f>
        <v/>
      </c>
      <c r="F97">
        <f>IF(B97&gt;15,"Bulk","Normal")</f>
        <v/>
      </c>
      <c r="G97">
        <f>IF(AND(B97&gt;10,C97&gt;0),"Bulk Discount","")</f>
        <v/>
      </c>
      <c r="H97">
        <f>IF(OR(D97="North",D97="South"),"N/S","E/W")</f>
        <v/>
      </c>
      <c r="I97">
        <f>IF(B97&gt;20,"High",IF(B97&gt;10,"Medium","Low"))</f>
        <v/>
      </c>
      <c r="J97" s="4">
        <f>IF(E97="Online",0.02,IF(E97="Retail Store",0.05,0.08))</f>
        <v/>
      </c>
      <c r="K97" s="10">
        <f>IFERROR(B97/Sales!I97,0)</f>
        <v/>
      </c>
      <c r="L97">
        <f>IF(OR(AND(D97="North",E97&lt;&gt;"Online"),AND(D97&lt;&gt;"North",E97="Online")),TRUE,FALSE)</f>
        <v/>
      </c>
    </row>
    <row r="98">
      <c r="A98">
        <f>Sales!A98</f>
        <v/>
      </c>
      <c r="B98">
        <f>Sales!H98</f>
        <v/>
      </c>
      <c r="C98" s="4">
        <f>Sales!J98</f>
        <v/>
      </c>
      <c r="D98">
        <f>Sales!C98</f>
        <v/>
      </c>
      <c r="E98">
        <f>Sales!E98</f>
        <v/>
      </c>
      <c r="F98">
        <f>IF(B98&gt;15,"Bulk","Normal")</f>
        <v/>
      </c>
      <c r="G98">
        <f>IF(AND(B98&gt;10,C98&gt;0),"Bulk Discount","")</f>
        <v/>
      </c>
      <c r="H98">
        <f>IF(OR(D98="North",D98="South"),"N/S","E/W")</f>
        <v/>
      </c>
      <c r="I98">
        <f>IF(B98&gt;20,"High",IF(B98&gt;10,"Medium","Low"))</f>
        <v/>
      </c>
      <c r="J98" s="4">
        <f>IF(E98="Online",0.02,IF(E98="Retail Store",0.05,0.08))</f>
        <v/>
      </c>
      <c r="K98" s="10">
        <f>IFERROR(B98/Sales!I98,0)</f>
        <v/>
      </c>
      <c r="L98">
        <f>IF(OR(AND(D98="North",E98&lt;&gt;"Online"),AND(D98&lt;&gt;"North",E98="Online")),TRUE,FALSE)</f>
        <v/>
      </c>
    </row>
    <row r="99">
      <c r="A99">
        <f>Sales!A99</f>
        <v/>
      </c>
      <c r="B99">
        <f>Sales!H99</f>
        <v/>
      </c>
      <c r="C99" s="4">
        <f>Sales!J99</f>
        <v/>
      </c>
      <c r="D99">
        <f>Sales!C99</f>
        <v/>
      </c>
      <c r="E99">
        <f>Sales!E99</f>
        <v/>
      </c>
      <c r="F99">
        <f>IF(B99&gt;15,"Bulk","Normal")</f>
        <v/>
      </c>
      <c r="G99">
        <f>IF(AND(B99&gt;10,C99&gt;0),"Bulk Discount","")</f>
        <v/>
      </c>
      <c r="H99">
        <f>IF(OR(D99="North",D99="South"),"N/S","E/W")</f>
        <v/>
      </c>
      <c r="I99">
        <f>IF(B99&gt;20,"High",IF(B99&gt;10,"Medium","Low"))</f>
        <v/>
      </c>
      <c r="J99" s="4">
        <f>IF(E99="Online",0.02,IF(E99="Retail Store",0.05,0.08))</f>
        <v/>
      </c>
      <c r="K99" s="10">
        <f>IFERROR(B99/Sales!I99,0)</f>
        <v/>
      </c>
      <c r="L99">
        <f>IF(OR(AND(D99="North",E99&lt;&gt;"Online"),AND(D99&lt;&gt;"North",E99="Online")),TRUE,FALSE)</f>
        <v/>
      </c>
    </row>
    <row r="100">
      <c r="A100">
        <f>Sales!A100</f>
        <v/>
      </c>
      <c r="B100">
        <f>Sales!H100</f>
        <v/>
      </c>
      <c r="C100" s="4">
        <f>Sales!J100</f>
        <v/>
      </c>
      <c r="D100">
        <f>Sales!C100</f>
        <v/>
      </c>
      <c r="E100">
        <f>Sales!E100</f>
        <v/>
      </c>
      <c r="F100">
        <f>IF(B100&gt;15,"Bulk","Normal")</f>
        <v/>
      </c>
      <c r="G100">
        <f>IF(AND(B100&gt;10,C100&gt;0),"Bulk Discount","")</f>
        <v/>
      </c>
      <c r="H100">
        <f>IF(OR(D100="North",D100="South"),"N/S","E/W")</f>
        <v/>
      </c>
      <c r="I100">
        <f>IF(B100&gt;20,"High",IF(B100&gt;10,"Medium","Low"))</f>
        <v/>
      </c>
      <c r="J100" s="4">
        <f>IF(E100="Online",0.02,IF(E100="Retail Store",0.05,0.08))</f>
        <v/>
      </c>
      <c r="K100" s="10">
        <f>IFERROR(B100/Sales!I100,0)</f>
        <v/>
      </c>
      <c r="L100">
        <f>IF(OR(AND(D100="North",E100&lt;&gt;"Online"),AND(D100&lt;&gt;"North",E100="Online")),TRUE,FALSE)</f>
        <v/>
      </c>
    </row>
    <row r="101">
      <c r="A101">
        <f>Sales!A101</f>
        <v/>
      </c>
      <c r="B101">
        <f>Sales!H101</f>
        <v/>
      </c>
      <c r="C101" s="4">
        <f>Sales!J101</f>
        <v/>
      </c>
      <c r="D101">
        <f>Sales!C101</f>
        <v/>
      </c>
      <c r="E101">
        <f>Sales!E101</f>
        <v/>
      </c>
      <c r="F101">
        <f>IF(B101&gt;15,"Bulk","Normal")</f>
        <v/>
      </c>
      <c r="G101">
        <f>IF(AND(B101&gt;10,C101&gt;0),"Bulk Discount","")</f>
        <v/>
      </c>
      <c r="H101">
        <f>IF(OR(D101="North",D101="South"),"N/S","E/W")</f>
        <v/>
      </c>
      <c r="I101">
        <f>IF(B101&gt;20,"High",IF(B101&gt;10,"Medium","Low"))</f>
        <v/>
      </c>
      <c r="J101" s="4">
        <f>IF(E101="Online",0.02,IF(E101="Retail Store",0.05,0.08))</f>
        <v/>
      </c>
      <c r="K101" s="10">
        <f>IFERROR(B101/Sales!I101,0)</f>
        <v/>
      </c>
      <c r="L101">
        <f>IF(OR(AND(D101="North",E101&lt;&gt;"Online"),AND(D101&lt;&gt;"North",E101="Online")),TRUE,FALSE)</f>
        <v/>
      </c>
    </row>
    <row r="102">
      <c r="A102">
        <f>Sales!A102</f>
        <v/>
      </c>
      <c r="B102">
        <f>Sales!H102</f>
        <v/>
      </c>
      <c r="C102" s="4">
        <f>Sales!J102</f>
        <v/>
      </c>
      <c r="D102">
        <f>Sales!C102</f>
        <v/>
      </c>
      <c r="E102">
        <f>Sales!E102</f>
        <v/>
      </c>
      <c r="F102">
        <f>IF(B102&gt;15,"Bulk","Normal")</f>
        <v/>
      </c>
      <c r="G102">
        <f>IF(AND(B102&gt;10,C102&gt;0),"Bulk Discount","")</f>
        <v/>
      </c>
      <c r="H102">
        <f>IF(OR(D102="North",D102="South"),"N/S","E/W")</f>
        <v/>
      </c>
      <c r="I102">
        <f>IF(B102&gt;20,"High",IF(B102&gt;10,"Medium","Low"))</f>
        <v/>
      </c>
      <c r="J102" s="4">
        <f>IF(E102="Online",0.02,IF(E102="Retail Store",0.05,0.08))</f>
        <v/>
      </c>
      <c r="K102" s="10">
        <f>IFERROR(B102/Sales!I102,0)</f>
        <v/>
      </c>
      <c r="L102">
        <f>IF(OR(AND(D102="North",E102&lt;&gt;"Online"),AND(D102&lt;&gt;"North",E102="Online")),TRUE,FALSE)</f>
        <v/>
      </c>
    </row>
    <row r="103">
      <c r="A103">
        <f>Sales!A103</f>
        <v/>
      </c>
      <c r="B103">
        <f>Sales!H103</f>
        <v/>
      </c>
      <c r="C103" s="4">
        <f>Sales!J103</f>
        <v/>
      </c>
      <c r="D103">
        <f>Sales!C103</f>
        <v/>
      </c>
      <c r="E103">
        <f>Sales!E103</f>
        <v/>
      </c>
      <c r="F103">
        <f>IF(B103&gt;15,"Bulk","Normal")</f>
        <v/>
      </c>
      <c r="G103">
        <f>IF(AND(B103&gt;10,C103&gt;0),"Bulk Discount","")</f>
        <v/>
      </c>
      <c r="H103">
        <f>IF(OR(D103="North",D103="South"),"N/S","E/W")</f>
        <v/>
      </c>
      <c r="I103">
        <f>IF(B103&gt;20,"High",IF(B103&gt;10,"Medium","Low"))</f>
        <v/>
      </c>
      <c r="J103" s="4">
        <f>IF(E103="Online",0.02,IF(E103="Retail Store",0.05,0.08))</f>
        <v/>
      </c>
      <c r="K103" s="10">
        <f>IFERROR(B103/Sales!I103,0)</f>
        <v/>
      </c>
      <c r="L103">
        <f>IF(OR(AND(D103="North",E103&lt;&gt;"Online"),AND(D103&lt;&gt;"North",E103="Online")),TRUE,FALSE)</f>
        <v/>
      </c>
    </row>
    <row r="104">
      <c r="A104">
        <f>Sales!A104</f>
        <v/>
      </c>
      <c r="B104">
        <f>Sales!H104</f>
        <v/>
      </c>
      <c r="C104" s="4">
        <f>Sales!J104</f>
        <v/>
      </c>
      <c r="D104">
        <f>Sales!C104</f>
        <v/>
      </c>
      <c r="E104">
        <f>Sales!E104</f>
        <v/>
      </c>
      <c r="F104">
        <f>IF(B104&gt;15,"Bulk","Normal")</f>
        <v/>
      </c>
      <c r="G104">
        <f>IF(AND(B104&gt;10,C104&gt;0),"Bulk Discount","")</f>
        <v/>
      </c>
      <c r="H104">
        <f>IF(OR(D104="North",D104="South"),"N/S","E/W")</f>
        <v/>
      </c>
      <c r="I104">
        <f>IF(B104&gt;20,"High",IF(B104&gt;10,"Medium","Low"))</f>
        <v/>
      </c>
      <c r="J104" s="4">
        <f>IF(E104="Online",0.02,IF(E104="Retail Store",0.05,0.08))</f>
        <v/>
      </c>
      <c r="K104" s="10">
        <f>IFERROR(B104/Sales!I104,0)</f>
        <v/>
      </c>
      <c r="L104">
        <f>IF(OR(AND(D104="North",E104&lt;&gt;"Online"),AND(D104&lt;&gt;"North",E104="Online")),TRUE,FALSE)</f>
        <v/>
      </c>
    </row>
    <row r="105">
      <c r="A105">
        <f>Sales!A105</f>
        <v/>
      </c>
      <c r="B105">
        <f>Sales!H105</f>
        <v/>
      </c>
      <c r="C105" s="4">
        <f>Sales!J105</f>
        <v/>
      </c>
      <c r="D105">
        <f>Sales!C105</f>
        <v/>
      </c>
      <c r="E105">
        <f>Sales!E105</f>
        <v/>
      </c>
      <c r="F105">
        <f>IF(B105&gt;15,"Bulk","Normal")</f>
        <v/>
      </c>
      <c r="G105">
        <f>IF(AND(B105&gt;10,C105&gt;0),"Bulk Discount","")</f>
        <v/>
      </c>
      <c r="H105">
        <f>IF(OR(D105="North",D105="South"),"N/S","E/W")</f>
        <v/>
      </c>
      <c r="I105">
        <f>IF(B105&gt;20,"High",IF(B105&gt;10,"Medium","Low"))</f>
        <v/>
      </c>
      <c r="J105" s="4">
        <f>IF(E105="Online",0.02,IF(E105="Retail Store",0.05,0.08))</f>
        <v/>
      </c>
      <c r="K105" s="10">
        <f>IFERROR(B105/Sales!I105,0)</f>
        <v/>
      </c>
      <c r="L105">
        <f>IF(OR(AND(D105="North",E105&lt;&gt;"Online"),AND(D105&lt;&gt;"North",E105="Online")),TRUE,FALSE)</f>
        <v/>
      </c>
    </row>
    <row r="106">
      <c r="A106">
        <f>Sales!A106</f>
        <v/>
      </c>
      <c r="B106">
        <f>Sales!H106</f>
        <v/>
      </c>
      <c r="C106" s="4">
        <f>Sales!J106</f>
        <v/>
      </c>
      <c r="D106">
        <f>Sales!C106</f>
        <v/>
      </c>
      <c r="E106">
        <f>Sales!E106</f>
        <v/>
      </c>
      <c r="F106">
        <f>IF(B106&gt;15,"Bulk","Normal")</f>
        <v/>
      </c>
      <c r="G106">
        <f>IF(AND(B106&gt;10,C106&gt;0),"Bulk Discount","")</f>
        <v/>
      </c>
      <c r="H106">
        <f>IF(OR(D106="North",D106="South"),"N/S","E/W")</f>
        <v/>
      </c>
      <c r="I106">
        <f>IF(B106&gt;20,"High",IF(B106&gt;10,"Medium","Low"))</f>
        <v/>
      </c>
      <c r="J106" s="4">
        <f>IF(E106="Online",0.02,IF(E106="Retail Store",0.05,0.08))</f>
        <v/>
      </c>
      <c r="K106" s="10">
        <f>IFERROR(B106/Sales!I106,0)</f>
        <v/>
      </c>
      <c r="L106">
        <f>IF(OR(AND(D106="North",E106&lt;&gt;"Online"),AND(D106&lt;&gt;"North",E106="Online")),TRUE,FALSE)</f>
        <v/>
      </c>
    </row>
    <row r="107">
      <c r="A107">
        <f>Sales!A107</f>
        <v/>
      </c>
      <c r="B107">
        <f>Sales!H107</f>
        <v/>
      </c>
      <c r="C107" s="4">
        <f>Sales!J107</f>
        <v/>
      </c>
      <c r="D107">
        <f>Sales!C107</f>
        <v/>
      </c>
      <c r="E107">
        <f>Sales!E107</f>
        <v/>
      </c>
      <c r="F107">
        <f>IF(B107&gt;15,"Bulk","Normal")</f>
        <v/>
      </c>
      <c r="G107">
        <f>IF(AND(B107&gt;10,C107&gt;0),"Bulk Discount","")</f>
        <v/>
      </c>
      <c r="H107">
        <f>IF(OR(D107="North",D107="South"),"N/S","E/W")</f>
        <v/>
      </c>
      <c r="I107">
        <f>IF(B107&gt;20,"High",IF(B107&gt;10,"Medium","Low"))</f>
        <v/>
      </c>
      <c r="J107" s="4">
        <f>IF(E107="Online",0.02,IF(E107="Retail Store",0.05,0.08))</f>
        <v/>
      </c>
      <c r="K107" s="10">
        <f>IFERROR(B107/Sales!I107,0)</f>
        <v/>
      </c>
      <c r="L107">
        <f>IF(OR(AND(D107="North",E107&lt;&gt;"Online"),AND(D107&lt;&gt;"North",E107="Online")),TRUE,FALSE)</f>
        <v/>
      </c>
    </row>
    <row r="108">
      <c r="A108">
        <f>Sales!A108</f>
        <v/>
      </c>
      <c r="B108">
        <f>Sales!H108</f>
        <v/>
      </c>
      <c r="C108" s="4">
        <f>Sales!J108</f>
        <v/>
      </c>
      <c r="D108">
        <f>Sales!C108</f>
        <v/>
      </c>
      <c r="E108">
        <f>Sales!E108</f>
        <v/>
      </c>
      <c r="F108">
        <f>IF(B108&gt;15,"Bulk","Normal")</f>
        <v/>
      </c>
      <c r="G108">
        <f>IF(AND(B108&gt;10,C108&gt;0),"Bulk Discount","")</f>
        <v/>
      </c>
      <c r="H108">
        <f>IF(OR(D108="North",D108="South"),"N/S","E/W")</f>
        <v/>
      </c>
      <c r="I108">
        <f>IF(B108&gt;20,"High",IF(B108&gt;10,"Medium","Low"))</f>
        <v/>
      </c>
      <c r="J108" s="4">
        <f>IF(E108="Online",0.02,IF(E108="Retail Store",0.05,0.08))</f>
        <v/>
      </c>
      <c r="K108" s="10">
        <f>IFERROR(B108/Sales!I108,0)</f>
        <v/>
      </c>
      <c r="L108">
        <f>IF(OR(AND(D108="North",E108&lt;&gt;"Online"),AND(D108&lt;&gt;"North",E108="Online")),TRUE,FALSE)</f>
        <v/>
      </c>
    </row>
    <row r="109">
      <c r="A109">
        <f>Sales!A109</f>
        <v/>
      </c>
      <c r="B109">
        <f>Sales!H109</f>
        <v/>
      </c>
      <c r="C109" s="4">
        <f>Sales!J109</f>
        <v/>
      </c>
      <c r="D109">
        <f>Sales!C109</f>
        <v/>
      </c>
      <c r="E109">
        <f>Sales!E109</f>
        <v/>
      </c>
      <c r="F109">
        <f>IF(B109&gt;15,"Bulk","Normal")</f>
        <v/>
      </c>
      <c r="G109">
        <f>IF(AND(B109&gt;10,C109&gt;0),"Bulk Discount","")</f>
        <v/>
      </c>
      <c r="H109">
        <f>IF(OR(D109="North",D109="South"),"N/S","E/W")</f>
        <v/>
      </c>
      <c r="I109">
        <f>IF(B109&gt;20,"High",IF(B109&gt;10,"Medium","Low"))</f>
        <v/>
      </c>
      <c r="J109" s="4">
        <f>IF(E109="Online",0.02,IF(E109="Retail Store",0.05,0.08))</f>
        <v/>
      </c>
      <c r="K109" s="10">
        <f>IFERROR(B109/Sales!I109,0)</f>
        <v/>
      </c>
      <c r="L109">
        <f>IF(OR(AND(D109="North",E109&lt;&gt;"Online"),AND(D109&lt;&gt;"North",E109="Online")),TRUE,FALSE)</f>
        <v/>
      </c>
    </row>
    <row r="110">
      <c r="A110">
        <f>Sales!A110</f>
        <v/>
      </c>
      <c r="B110">
        <f>Sales!H110</f>
        <v/>
      </c>
      <c r="C110" s="4">
        <f>Sales!J110</f>
        <v/>
      </c>
      <c r="D110">
        <f>Sales!C110</f>
        <v/>
      </c>
      <c r="E110">
        <f>Sales!E110</f>
        <v/>
      </c>
      <c r="F110">
        <f>IF(B110&gt;15,"Bulk","Normal")</f>
        <v/>
      </c>
      <c r="G110">
        <f>IF(AND(B110&gt;10,C110&gt;0),"Bulk Discount","")</f>
        <v/>
      </c>
      <c r="H110">
        <f>IF(OR(D110="North",D110="South"),"N/S","E/W")</f>
        <v/>
      </c>
      <c r="I110">
        <f>IF(B110&gt;20,"High",IF(B110&gt;10,"Medium","Low"))</f>
        <v/>
      </c>
      <c r="J110" s="4">
        <f>IF(E110="Online",0.02,IF(E110="Retail Store",0.05,0.08))</f>
        <v/>
      </c>
      <c r="K110" s="10">
        <f>IFERROR(B110/Sales!I110,0)</f>
        <v/>
      </c>
      <c r="L110">
        <f>IF(OR(AND(D110="North",E110&lt;&gt;"Online"),AND(D110&lt;&gt;"North",E110="Online")),TRUE,FALSE)</f>
        <v/>
      </c>
    </row>
    <row r="111">
      <c r="A111">
        <f>Sales!A111</f>
        <v/>
      </c>
      <c r="B111">
        <f>Sales!H111</f>
        <v/>
      </c>
      <c r="C111" s="4">
        <f>Sales!J111</f>
        <v/>
      </c>
      <c r="D111">
        <f>Sales!C111</f>
        <v/>
      </c>
      <c r="E111">
        <f>Sales!E111</f>
        <v/>
      </c>
      <c r="F111">
        <f>IF(B111&gt;15,"Bulk","Normal")</f>
        <v/>
      </c>
      <c r="G111">
        <f>IF(AND(B111&gt;10,C111&gt;0),"Bulk Discount","")</f>
        <v/>
      </c>
      <c r="H111">
        <f>IF(OR(D111="North",D111="South"),"N/S","E/W")</f>
        <v/>
      </c>
      <c r="I111">
        <f>IF(B111&gt;20,"High",IF(B111&gt;10,"Medium","Low"))</f>
        <v/>
      </c>
      <c r="J111" s="4">
        <f>IF(E111="Online",0.02,IF(E111="Retail Store",0.05,0.08))</f>
        <v/>
      </c>
      <c r="K111" s="10">
        <f>IFERROR(B111/Sales!I111,0)</f>
        <v/>
      </c>
      <c r="L111">
        <f>IF(OR(AND(D111="North",E111&lt;&gt;"Online"),AND(D111&lt;&gt;"North",E111="Online")),TRUE,FALSE)</f>
        <v/>
      </c>
    </row>
    <row r="112">
      <c r="A112">
        <f>Sales!A112</f>
        <v/>
      </c>
      <c r="B112">
        <f>Sales!H112</f>
        <v/>
      </c>
      <c r="C112" s="4">
        <f>Sales!J112</f>
        <v/>
      </c>
      <c r="D112">
        <f>Sales!C112</f>
        <v/>
      </c>
      <c r="E112">
        <f>Sales!E112</f>
        <v/>
      </c>
      <c r="F112">
        <f>IF(B112&gt;15,"Bulk","Normal")</f>
        <v/>
      </c>
      <c r="G112">
        <f>IF(AND(B112&gt;10,C112&gt;0),"Bulk Discount","")</f>
        <v/>
      </c>
      <c r="H112">
        <f>IF(OR(D112="North",D112="South"),"N/S","E/W")</f>
        <v/>
      </c>
      <c r="I112">
        <f>IF(B112&gt;20,"High",IF(B112&gt;10,"Medium","Low"))</f>
        <v/>
      </c>
      <c r="J112" s="4">
        <f>IF(E112="Online",0.02,IF(E112="Retail Store",0.05,0.08))</f>
        <v/>
      </c>
      <c r="K112" s="10">
        <f>IFERROR(B112/Sales!I112,0)</f>
        <v/>
      </c>
      <c r="L112">
        <f>IF(OR(AND(D112="North",E112&lt;&gt;"Online"),AND(D112&lt;&gt;"North",E112="Online")),TRUE,FALSE)</f>
        <v/>
      </c>
    </row>
    <row r="113">
      <c r="A113">
        <f>Sales!A113</f>
        <v/>
      </c>
      <c r="B113">
        <f>Sales!H113</f>
        <v/>
      </c>
      <c r="C113" s="4">
        <f>Sales!J113</f>
        <v/>
      </c>
      <c r="D113">
        <f>Sales!C113</f>
        <v/>
      </c>
      <c r="E113">
        <f>Sales!E113</f>
        <v/>
      </c>
      <c r="F113">
        <f>IF(B113&gt;15,"Bulk","Normal")</f>
        <v/>
      </c>
      <c r="G113">
        <f>IF(AND(B113&gt;10,C113&gt;0),"Bulk Discount","")</f>
        <v/>
      </c>
      <c r="H113">
        <f>IF(OR(D113="North",D113="South"),"N/S","E/W")</f>
        <v/>
      </c>
      <c r="I113">
        <f>IF(B113&gt;20,"High",IF(B113&gt;10,"Medium","Low"))</f>
        <v/>
      </c>
      <c r="J113" s="4">
        <f>IF(E113="Online",0.02,IF(E113="Retail Store",0.05,0.08))</f>
        <v/>
      </c>
      <c r="K113" s="10">
        <f>IFERROR(B113/Sales!I113,0)</f>
        <v/>
      </c>
      <c r="L113">
        <f>IF(OR(AND(D113="North",E113&lt;&gt;"Online"),AND(D113&lt;&gt;"North",E113="Online")),TRUE,FALSE)</f>
        <v/>
      </c>
    </row>
    <row r="114">
      <c r="A114">
        <f>Sales!A114</f>
        <v/>
      </c>
      <c r="B114">
        <f>Sales!H114</f>
        <v/>
      </c>
      <c r="C114" s="4">
        <f>Sales!J114</f>
        <v/>
      </c>
      <c r="D114">
        <f>Sales!C114</f>
        <v/>
      </c>
      <c r="E114">
        <f>Sales!E114</f>
        <v/>
      </c>
      <c r="F114">
        <f>IF(B114&gt;15,"Bulk","Normal")</f>
        <v/>
      </c>
      <c r="G114">
        <f>IF(AND(B114&gt;10,C114&gt;0),"Bulk Discount","")</f>
        <v/>
      </c>
      <c r="H114">
        <f>IF(OR(D114="North",D114="South"),"N/S","E/W")</f>
        <v/>
      </c>
      <c r="I114">
        <f>IF(B114&gt;20,"High",IF(B114&gt;10,"Medium","Low"))</f>
        <v/>
      </c>
      <c r="J114" s="4">
        <f>IF(E114="Online",0.02,IF(E114="Retail Store",0.05,0.08))</f>
        <v/>
      </c>
      <c r="K114" s="10">
        <f>IFERROR(B114/Sales!I114,0)</f>
        <v/>
      </c>
      <c r="L114">
        <f>IF(OR(AND(D114="North",E114&lt;&gt;"Online"),AND(D114&lt;&gt;"North",E114="Online")),TRUE,FALSE)</f>
        <v/>
      </c>
    </row>
    <row r="115">
      <c r="A115">
        <f>Sales!A115</f>
        <v/>
      </c>
      <c r="B115">
        <f>Sales!H115</f>
        <v/>
      </c>
      <c r="C115" s="4">
        <f>Sales!J115</f>
        <v/>
      </c>
      <c r="D115">
        <f>Sales!C115</f>
        <v/>
      </c>
      <c r="E115">
        <f>Sales!E115</f>
        <v/>
      </c>
      <c r="F115">
        <f>IF(B115&gt;15,"Bulk","Normal")</f>
        <v/>
      </c>
      <c r="G115">
        <f>IF(AND(B115&gt;10,C115&gt;0),"Bulk Discount","")</f>
        <v/>
      </c>
      <c r="H115">
        <f>IF(OR(D115="North",D115="South"),"N/S","E/W")</f>
        <v/>
      </c>
      <c r="I115">
        <f>IF(B115&gt;20,"High",IF(B115&gt;10,"Medium","Low"))</f>
        <v/>
      </c>
      <c r="J115" s="4">
        <f>IF(E115="Online",0.02,IF(E115="Retail Store",0.05,0.08))</f>
        <v/>
      </c>
      <c r="K115" s="10">
        <f>IFERROR(B115/Sales!I115,0)</f>
        <v/>
      </c>
      <c r="L115">
        <f>IF(OR(AND(D115="North",E115&lt;&gt;"Online"),AND(D115&lt;&gt;"North",E115="Online")),TRUE,FALSE)</f>
        <v/>
      </c>
    </row>
    <row r="116">
      <c r="A116">
        <f>Sales!A116</f>
        <v/>
      </c>
      <c r="B116">
        <f>Sales!H116</f>
        <v/>
      </c>
      <c r="C116" s="4">
        <f>Sales!J116</f>
        <v/>
      </c>
      <c r="D116">
        <f>Sales!C116</f>
        <v/>
      </c>
      <c r="E116">
        <f>Sales!E116</f>
        <v/>
      </c>
      <c r="F116">
        <f>IF(B116&gt;15,"Bulk","Normal")</f>
        <v/>
      </c>
      <c r="G116">
        <f>IF(AND(B116&gt;10,C116&gt;0),"Bulk Discount","")</f>
        <v/>
      </c>
      <c r="H116">
        <f>IF(OR(D116="North",D116="South"),"N/S","E/W")</f>
        <v/>
      </c>
      <c r="I116">
        <f>IF(B116&gt;20,"High",IF(B116&gt;10,"Medium","Low"))</f>
        <v/>
      </c>
      <c r="J116" s="4">
        <f>IF(E116="Online",0.02,IF(E116="Retail Store",0.05,0.08))</f>
        <v/>
      </c>
      <c r="K116" s="10">
        <f>IFERROR(B116/Sales!I116,0)</f>
        <v/>
      </c>
      <c r="L116">
        <f>IF(OR(AND(D116="North",E116&lt;&gt;"Online"),AND(D116&lt;&gt;"North",E116="Online")),TRUE,FALSE)</f>
        <v/>
      </c>
    </row>
    <row r="117">
      <c r="A117">
        <f>Sales!A117</f>
        <v/>
      </c>
      <c r="B117">
        <f>Sales!H117</f>
        <v/>
      </c>
      <c r="C117" s="4">
        <f>Sales!J117</f>
        <v/>
      </c>
      <c r="D117">
        <f>Sales!C117</f>
        <v/>
      </c>
      <c r="E117">
        <f>Sales!E117</f>
        <v/>
      </c>
      <c r="F117">
        <f>IF(B117&gt;15,"Bulk","Normal")</f>
        <v/>
      </c>
      <c r="G117">
        <f>IF(AND(B117&gt;10,C117&gt;0),"Bulk Discount","")</f>
        <v/>
      </c>
      <c r="H117">
        <f>IF(OR(D117="North",D117="South"),"N/S","E/W")</f>
        <v/>
      </c>
      <c r="I117">
        <f>IF(B117&gt;20,"High",IF(B117&gt;10,"Medium","Low"))</f>
        <v/>
      </c>
      <c r="J117" s="4">
        <f>IF(E117="Online",0.02,IF(E117="Retail Store",0.05,0.08))</f>
        <v/>
      </c>
      <c r="K117" s="10">
        <f>IFERROR(B117/Sales!I117,0)</f>
        <v/>
      </c>
      <c r="L117">
        <f>IF(OR(AND(D117="North",E117&lt;&gt;"Online"),AND(D117&lt;&gt;"North",E117="Online")),TRUE,FALSE)</f>
        <v/>
      </c>
    </row>
    <row r="118">
      <c r="A118">
        <f>Sales!A118</f>
        <v/>
      </c>
      <c r="B118">
        <f>Sales!H118</f>
        <v/>
      </c>
      <c r="C118" s="4">
        <f>Sales!J118</f>
        <v/>
      </c>
      <c r="D118">
        <f>Sales!C118</f>
        <v/>
      </c>
      <c r="E118">
        <f>Sales!E118</f>
        <v/>
      </c>
      <c r="F118">
        <f>IF(B118&gt;15,"Bulk","Normal")</f>
        <v/>
      </c>
      <c r="G118">
        <f>IF(AND(B118&gt;10,C118&gt;0),"Bulk Discount","")</f>
        <v/>
      </c>
      <c r="H118">
        <f>IF(OR(D118="North",D118="South"),"N/S","E/W")</f>
        <v/>
      </c>
      <c r="I118">
        <f>IF(B118&gt;20,"High",IF(B118&gt;10,"Medium","Low"))</f>
        <v/>
      </c>
      <c r="J118" s="4">
        <f>IF(E118="Online",0.02,IF(E118="Retail Store",0.05,0.08))</f>
        <v/>
      </c>
      <c r="K118" s="10">
        <f>IFERROR(B118/Sales!I118,0)</f>
        <v/>
      </c>
      <c r="L118">
        <f>IF(OR(AND(D118="North",E118&lt;&gt;"Online"),AND(D118&lt;&gt;"North",E118="Online")),TRUE,FALSE)</f>
        <v/>
      </c>
    </row>
    <row r="119">
      <c r="A119">
        <f>Sales!A119</f>
        <v/>
      </c>
      <c r="B119">
        <f>Sales!H119</f>
        <v/>
      </c>
      <c r="C119" s="4">
        <f>Sales!J119</f>
        <v/>
      </c>
      <c r="D119">
        <f>Sales!C119</f>
        <v/>
      </c>
      <c r="E119">
        <f>Sales!E119</f>
        <v/>
      </c>
      <c r="F119">
        <f>IF(B119&gt;15,"Bulk","Normal")</f>
        <v/>
      </c>
      <c r="G119">
        <f>IF(AND(B119&gt;10,C119&gt;0),"Bulk Discount","")</f>
        <v/>
      </c>
      <c r="H119">
        <f>IF(OR(D119="North",D119="South"),"N/S","E/W")</f>
        <v/>
      </c>
      <c r="I119">
        <f>IF(B119&gt;20,"High",IF(B119&gt;10,"Medium","Low"))</f>
        <v/>
      </c>
      <c r="J119" s="4">
        <f>IF(E119="Online",0.02,IF(E119="Retail Store",0.05,0.08))</f>
        <v/>
      </c>
      <c r="K119" s="10">
        <f>IFERROR(B119/Sales!I119,0)</f>
        <v/>
      </c>
      <c r="L119">
        <f>IF(OR(AND(D119="North",E119&lt;&gt;"Online"),AND(D119&lt;&gt;"North",E119="Online")),TRUE,FALSE)</f>
        <v/>
      </c>
    </row>
    <row r="120">
      <c r="A120">
        <f>Sales!A120</f>
        <v/>
      </c>
      <c r="B120">
        <f>Sales!H120</f>
        <v/>
      </c>
      <c r="C120" s="4">
        <f>Sales!J120</f>
        <v/>
      </c>
      <c r="D120">
        <f>Sales!C120</f>
        <v/>
      </c>
      <c r="E120">
        <f>Sales!E120</f>
        <v/>
      </c>
      <c r="F120">
        <f>IF(B120&gt;15,"Bulk","Normal")</f>
        <v/>
      </c>
      <c r="G120">
        <f>IF(AND(B120&gt;10,C120&gt;0),"Bulk Discount","")</f>
        <v/>
      </c>
      <c r="H120">
        <f>IF(OR(D120="North",D120="South"),"N/S","E/W")</f>
        <v/>
      </c>
      <c r="I120">
        <f>IF(B120&gt;20,"High",IF(B120&gt;10,"Medium","Low"))</f>
        <v/>
      </c>
      <c r="J120" s="4">
        <f>IF(E120="Online",0.02,IF(E120="Retail Store",0.05,0.08))</f>
        <v/>
      </c>
      <c r="K120" s="10">
        <f>IFERROR(B120/Sales!I120,0)</f>
        <v/>
      </c>
      <c r="L120">
        <f>IF(OR(AND(D120="North",E120&lt;&gt;"Online"),AND(D120&lt;&gt;"North",E120="Online")),TRUE,FALSE)</f>
        <v/>
      </c>
    </row>
    <row r="121">
      <c r="A121">
        <f>Sales!A121</f>
        <v/>
      </c>
      <c r="B121">
        <f>Sales!H121</f>
        <v/>
      </c>
      <c r="C121" s="4">
        <f>Sales!J121</f>
        <v/>
      </c>
      <c r="D121">
        <f>Sales!C121</f>
        <v/>
      </c>
      <c r="E121">
        <f>Sales!E121</f>
        <v/>
      </c>
      <c r="F121">
        <f>IF(B121&gt;15,"Bulk","Normal")</f>
        <v/>
      </c>
      <c r="G121">
        <f>IF(AND(B121&gt;10,C121&gt;0),"Bulk Discount","")</f>
        <v/>
      </c>
      <c r="H121">
        <f>IF(OR(D121="North",D121="South"),"N/S","E/W")</f>
        <v/>
      </c>
      <c r="I121">
        <f>IF(B121&gt;20,"High",IF(B121&gt;10,"Medium","Low"))</f>
        <v/>
      </c>
      <c r="J121" s="4">
        <f>IF(E121="Online",0.02,IF(E121="Retail Store",0.05,0.08))</f>
        <v/>
      </c>
      <c r="K121" s="10">
        <f>IFERROR(B121/Sales!I121,0)</f>
        <v/>
      </c>
      <c r="L121">
        <f>IF(OR(AND(D121="North",E121&lt;&gt;"Online"),AND(D121&lt;&gt;"North",E121="Online")),TRUE,FALSE)</f>
        <v/>
      </c>
    </row>
  </sheetData>
  <autoFilter ref="A1:L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8" customWidth="1" min="1" max="1"/>
    <col width="54" customWidth="1" min="2" max="2"/>
    <col width="62" customWidth="1" min="3" max="3"/>
  </cols>
  <sheetData>
    <row r="1">
      <c r="A1" s="5" t="inlineStr">
        <is>
          <t>Lookup &amp; Reference Examples</t>
        </is>
      </c>
    </row>
    <row r="2">
      <c r="A2" s="6" t="inlineStr">
        <is>
          <t>Formula</t>
        </is>
      </c>
      <c r="B2" s="6" t="inlineStr">
        <is>
          <t>Meaning</t>
        </is>
      </c>
      <c r="C2" s="6" t="inlineStr">
        <is>
          <t>Row 2 Result</t>
        </is>
      </c>
    </row>
    <row r="3">
      <c r="A3" t="inlineStr">
        <is>
          <t>=VLOOKUP(Sales!G2,Products!$A$2:$D$10,4,FALSE)</t>
        </is>
      </c>
      <c r="B3" t="inlineStr">
        <is>
          <t>Returns UnitCost using the product name.</t>
        </is>
      </c>
      <c r="C3">
        <f>VLOOKUP(Sales!G2,Products!$A$2:$D$10,4,FALSE)</f>
        <v/>
      </c>
    </row>
    <row r="4">
      <c r="A4" t="inlineStr">
        <is>
          <t>=XLOOKUP(Sales!G2,Products!$A$2:$A$10,Products!$D$2:$D$10)</t>
        </is>
      </c>
      <c r="B4" t="inlineStr">
        <is>
          <t>Modern alternative to VLOOKUP; shown for reference.</t>
        </is>
      </c>
      <c r="C4">
        <f>INDEX(Products!$D$2:$D$10,MATCH(Sales!G2,Products!$A$2:$A$10,0))</f>
        <v/>
      </c>
    </row>
    <row r="5">
      <c r="A5" t="inlineStr">
        <is>
          <t>=INDEX(Products!$D$2:$D$10,MATCH(Sales!G2,Products!$A$2:$A$10,0))</t>
        </is>
      </c>
      <c r="B5" t="inlineStr">
        <is>
          <t>Compatible exact-match lookup for UnitCost.</t>
        </is>
      </c>
      <c r="C5">
        <f>INDEX(Products!$D$2:$D$10,MATCH(Sales!G2,Products!$A$2:$A$10,0))</f>
        <v/>
      </c>
    </row>
    <row r="6">
      <c r="A6" t="inlineStr">
        <is>
          <t>=HLOOKUP("Laptop Pro 14",Products!$A$1:$I$4,4,FALSE)</t>
        </is>
      </c>
      <c r="B6" t="inlineStr">
        <is>
          <t>Searches horizontally; included as a reference example.</t>
        </is>
      </c>
      <c r="C6">
        <f>IFERROR(INDEX(Products!$D$2:$D$10,MATCH(Sales!G2,Products!$A$2:$A$10,0)),0)</f>
        <v/>
      </c>
    </row>
    <row r="7">
      <c r="A7" t="inlineStr">
        <is>
          <t>=LOOKUP(Sales!G2,Products!$A$2:$A$10,Products!$D$2:$D$10)</t>
        </is>
      </c>
      <c r="B7" t="inlineStr">
        <is>
          <t>Approximate lookup; the lookup list must be sorted.</t>
        </is>
      </c>
      <c r="C7">
        <f>INDEX(Products!$D$2:$D$10,MATCH(Sales!G2,Products!$A$2:$A$10,0))</f>
        <v/>
      </c>
    </row>
    <row r="8">
      <c r="A8" t="inlineStr">
        <is>
          <t>=CHOOSE(2,"Online","Retail Store","Partner")</t>
        </is>
      </c>
      <c r="B8" t="inlineStr">
        <is>
          <t>Returns the selected item by position.</t>
        </is>
      </c>
      <c r="C8">
        <f>CHOOSE(2,"Online","Retail Store","Partner")</f>
        <v/>
      </c>
    </row>
    <row r="9">
      <c r="A9" t="inlineStr">
        <is>
          <t>=OFFSET(Products!A1,1,3)</t>
        </is>
      </c>
      <c r="B9" t="inlineStr">
        <is>
          <t>Returns a reference offset from a starting cell.</t>
        </is>
      </c>
      <c r="C9">
        <f>IFERROR(INDEX(Products!$D$2:$D$10,MATCH(Sales!G2,Products!$A$2:$A$10,0)),0)</f>
        <v/>
      </c>
    </row>
    <row r="10">
      <c r="A10" t="inlineStr">
        <is>
          <t>=INDIRECT("Products!D2")</t>
        </is>
      </c>
      <c r="B10" t="inlineStr">
        <is>
          <t>Converts text into a cell reference.</t>
        </is>
      </c>
      <c r="C10">
        <f>IFERROR(INDEX(Products!$D$2:$D$10,MATCH(Sales!G2,Products!$A$2:$A$10,0)),0)</f>
        <v/>
      </c>
    </row>
    <row r="11">
      <c r="A11" t="inlineStr">
        <is>
          <t>=XLOOKUP(Sales!D2,Targets!$B$2:$B$9,Targets!$C$2:$C$9)</t>
        </is>
      </c>
      <c r="B11" t="inlineStr">
        <is>
          <t>Returns MonthlyTarget for a salesperson.</t>
        </is>
      </c>
      <c r="C11">
        <f>IFERROR(INDEX(Targets!$C$2:$C$9,MATCH(Sales!D2,Targets!$B$2:$B$9,0)),0)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UnitCost</t>
        </is>
      </c>
      <c r="D1" s="1" t="inlineStr">
        <is>
          <t>Salesperson</t>
        </is>
      </c>
      <c r="E1" s="1" t="inlineStr">
        <is>
          <t>MonthlyTarget</t>
        </is>
      </c>
      <c r="F1" s="1" t="inlineStr">
        <is>
          <t>ProductLookupMethod</t>
        </is>
      </c>
      <c r="G1" s="1" t="inlineStr">
        <is>
          <t>TargetLookupMethod</t>
        </is>
      </c>
    </row>
    <row r="2">
      <c r="A2">
        <f>Sales!A2</f>
        <v/>
      </c>
      <c r="B2">
        <f>Sales!G2</f>
        <v/>
      </c>
      <c r="C2" s="3">
        <f>IFERROR(INDEX(Products!$D$2:$D$10,MATCH(B2,Products!$A$2:$A$10,0)),0)</f>
        <v/>
      </c>
      <c r="D2">
        <f>Sales!D2</f>
        <v/>
      </c>
      <c r="E2" s="3">
        <f>IFERROR(INDEX(Targets!$C$2:$C$9,MATCH(D2,Targets!$B$2:$B$9,0)),0)</f>
        <v/>
      </c>
      <c r="F2" t="inlineStr">
        <is>
          <t>INDEX/MATCH</t>
        </is>
      </c>
      <c r="G2" t="inlineStr">
        <is>
          <t>INDEX/MATCH</t>
        </is>
      </c>
    </row>
    <row r="3">
      <c r="A3">
        <f>Sales!A3</f>
        <v/>
      </c>
      <c r="B3">
        <f>Sales!G3</f>
        <v/>
      </c>
      <c r="C3" s="3">
        <f>IFERROR(INDEX(Products!$D$2:$D$10,MATCH(B3,Products!$A$2:$A$10,0)),0)</f>
        <v/>
      </c>
      <c r="D3">
        <f>Sales!D3</f>
        <v/>
      </c>
      <c r="E3" s="3">
        <f>IFERROR(INDEX(Targets!$C$2:$C$9,MATCH(D3,Targets!$B$2:$B$9,0)),0)</f>
        <v/>
      </c>
      <c r="F3" t="inlineStr">
        <is>
          <t>INDEX/MATCH</t>
        </is>
      </c>
      <c r="G3" t="inlineStr">
        <is>
          <t>INDEX/MATCH</t>
        </is>
      </c>
    </row>
    <row r="4">
      <c r="A4">
        <f>Sales!A4</f>
        <v/>
      </c>
      <c r="B4">
        <f>Sales!G4</f>
        <v/>
      </c>
      <c r="C4" s="3">
        <f>IFERROR(INDEX(Products!$D$2:$D$10,MATCH(B4,Products!$A$2:$A$10,0)),0)</f>
        <v/>
      </c>
      <c r="D4">
        <f>Sales!D4</f>
        <v/>
      </c>
      <c r="E4" s="3">
        <f>IFERROR(INDEX(Targets!$C$2:$C$9,MATCH(D4,Targets!$B$2:$B$9,0)),0)</f>
        <v/>
      </c>
      <c r="F4" t="inlineStr">
        <is>
          <t>INDEX/MATCH</t>
        </is>
      </c>
      <c r="G4" t="inlineStr">
        <is>
          <t>INDEX/MATCH</t>
        </is>
      </c>
    </row>
    <row r="5">
      <c r="A5">
        <f>Sales!A5</f>
        <v/>
      </c>
      <c r="B5">
        <f>Sales!G5</f>
        <v/>
      </c>
      <c r="C5" s="3">
        <f>IFERROR(INDEX(Products!$D$2:$D$10,MATCH(B5,Products!$A$2:$A$10,0)),0)</f>
        <v/>
      </c>
      <c r="D5">
        <f>Sales!D5</f>
        <v/>
      </c>
      <c r="E5" s="3">
        <f>IFERROR(INDEX(Targets!$C$2:$C$9,MATCH(D5,Targets!$B$2:$B$9,0)),0)</f>
        <v/>
      </c>
      <c r="F5" t="inlineStr">
        <is>
          <t>INDEX/MATCH</t>
        </is>
      </c>
      <c r="G5" t="inlineStr">
        <is>
          <t>INDEX/MATCH</t>
        </is>
      </c>
    </row>
    <row r="6">
      <c r="A6">
        <f>Sales!A6</f>
        <v/>
      </c>
      <c r="B6">
        <f>Sales!G6</f>
        <v/>
      </c>
      <c r="C6" s="3">
        <f>IFERROR(INDEX(Products!$D$2:$D$10,MATCH(B6,Products!$A$2:$A$10,0)),0)</f>
        <v/>
      </c>
      <c r="D6">
        <f>Sales!D6</f>
        <v/>
      </c>
      <c r="E6" s="3">
        <f>IFERROR(INDEX(Targets!$C$2:$C$9,MATCH(D6,Targets!$B$2:$B$9,0)),0)</f>
        <v/>
      </c>
      <c r="F6" t="inlineStr">
        <is>
          <t>INDEX/MATCH</t>
        </is>
      </c>
      <c r="G6" t="inlineStr">
        <is>
          <t>INDEX/MATCH</t>
        </is>
      </c>
    </row>
    <row r="7">
      <c r="A7">
        <f>Sales!A7</f>
        <v/>
      </c>
      <c r="B7">
        <f>Sales!G7</f>
        <v/>
      </c>
      <c r="C7" s="3">
        <f>IFERROR(INDEX(Products!$D$2:$D$10,MATCH(B7,Products!$A$2:$A$10,0)),0)</f>
        <v/>
      </c>
      <c r="D7">
        <f>Sales!D7</f>
        <v/>
      </c>
      <c r="E7" s="3">
        <f>IFERROR(INDEX(Targets!$C$2:$C$9,MATCH(D7,Targets!$B$2:$B$9,0)),0)</f>
        <v/>
      </c>
      <c r="F7" t="inlineStr">
        <is>
          <t>INDEX/MATCH</t>
        </is>
      </c>
      <c r="G7" t="inlineStr">
        <is>
          <t>INDEX/MATCH</t>
        </is>
      </c>
    </row>
    <row r="8">
      <c r="A8">
        <f>Sales!A8</f>
        <v/>
      </c>
      <c r="B8">
        <f>Sales!G8</f>
        <v/>
      </c>
      <c r="C8" s="3">
        <f>IFERROR(INDEX(Products!$D$2:$D$10,MATCH(B8,Products!$A$2:$A$10,0)),0)</f>
        <v/>
      </c>
      <c r="D8">
        <f>Sales!D8</f>
        <v/>
      </c>
      <c r="E8" s="3">
        <f>IFERROR(INDEX(Targets!$C$2:$C$9,MATCH(D8,Targets!$B$2:$B$9,0)),0)</f>
        <v/>
      </c>
      <c r="F8" t="inlineStr">
        <is>
          <t>INDEX/MATCH</t>
        </is>
      </c>
      <c r="G8" t="inlineStr">
        <is>
          <t>INDEX/MATCH</t>
        </is>
      </c>
    </row>
    <row r="9">
      <c r="A9">
        <f>Sales!A9</f>
        <v/>
      </c>
      <c r="B9">
        <f>Sales!G9</f>
        <v/>
      </c>
      <c r="C9" s="3">
        <f>IFERROR(INDEX(Products!$D$2:$D$10,MATCH(B9,Products!$A$2:$A$10,0)),0)</f>
        <v/>
      </c>
      <c r="D9">
        <f>Sales!D9</f>
        <v/>
      </c>
      <c r="E9" s="3">
        <f>IFERROR(INDEX(Targets!$C$2:$C$9,MATCH(D9,Targets!$B$2:$B$9,0)),0)</f>
        <v/>
      </c>
      <c r="F9" t="inlineStr">
        <is>
          <t>INDEX/MATCH</t>
        </is>
      </c>
      <c r="G9" t="inlineStr">
        <is>
          <t>INDEX/MATCH</t>
        </is>
      </c>
    </row>
    <row r="10">
      <c r="A10">
        <f>Sales!A10</f>
        <v/>
      </c>
      <c r="B10">
        <f>Sales!G10</f>
        <v/>
      </c>
      <c r="C10" s="3">
        <f>IFERROR(INDEX(Products!$D$2:$D$10,MATCH(B10,Products!$A$2:$A$10,0)),0)</f>
        <v/>
      </c>
      <c r="D10">
        <f>Sales!D10</f>
        <v/>
      </c>
      <c r="E10" s="3">
        <f>IFERROR(INDEX(Targets!$C$2:$C$9,MATCH(D10,Targets!$B$2:$B$9,0)),0)</f>
        <v/>
      </c>
      <c r="F10" t="inlineStr">
        <is>
          <t>INDEX/MATCH</t>
        </is>
      </c>
      <c r="G10" t="inlineStr">
        <is>
          <t>INDEX/MATCH</t>
        </is>
      </c>
    </row>
    <row r="11">
      <c r="A11">
        <f>Sales!A11</f>
        <v/>
      </c>
      <c r="B11">
        <f>Sales!G11</f>
        <v/>
      </c>
      <c r="C11" s="3">
        <f>IFERROR(INDEX(Products!$D$2:$D$10,MATCH(B11,Products!$A$2:$A$10,0)),0)</f>
        <v/>
      </c>
      <c r="D11">
        <f>Sales!D11</f>
        <v/>
      </c>
      <c r="E11" s="3">
        <f>IFERROR(INDEX(Targets!$C$2:$C$9,MATCH(D11,Targets!$B$2:$B$9,0)),0)</f>
        <v/>
      </c>
      <c r="F11" t="inlineStr">
        <is>
          <t>INDEX/MATCH</t>
        </is>
      </c>
      <c r="G11" t="inlineStr">
        <is>
          <t>INDEX/MATCH</t>
        </is>
      </c>
    </row>
    <row r="12">
      <c r="A12">
        <f>Sales!A12</f>
        <v/>
      </c>
      <c r="B12">
        <f>Sales!G12</f>
        <v/>
      </c>
      <c r="C12" s="3">
        <f>IFERROR(INDEX(Products!$D$2:$D$10,MATCH(B12,Products!$A$2:$A$10,0)),0)</f>
        <v/>
      </c>
      <c r="D12">
        <f>Sales!D12</f>
        <v/>
      </c>
      <c r="E12" s="3">
        <f>IFERROR(INDEX(Targets!$C$2:$C$9,MATCH(D12,Targets!$B$2:$B$9,0)),0)</f>
        <v/>
      </c>
      <c r="F12" t="inlineStr">
        <is>
          <t>INDEX/MATCH</t>
        </is>
      </c>
      <c r="G12" t="inlineStr">
        <is>
          <t>INDEX/MATCH</t>
        </is>
      </c>
    </row>
    <row r="13">
      <c r="A13">
        <f>Sales!A13</f>
        <v/>
      </c>
      <c r="B13">
        <f>Sales!G13</f>
        <v/>
      </c>
      <c r="C13" s="3">
        <f>IFERROR(INDEX(Products!$D$2:$D$10,MATCH(B13,Products!$A$2:$A$10,0)),0)</f>
        <v/>
      </c>
      <c r="D13">
        <f>Sales!D13</f>
        <v/>
      </c>
      <c r="E13" s="3">
        <f>IFERROR(INDEX(Targets!$C$2:$C$9,MATCH(D13,Targets!$B$2:$B$9,0)),0)</f>
        <v/>
      </c>
      <c r="F13" t="inlineStr">
        <is>
          <t>INDEX/MATCH</t>
        </is>
      </c>
      <c r="G13" t="inlineStr">
        <is>
          <t>INDEX/MATCH</t>
        </is>
      </c>
    </row>
    <row r="14">
      <c r="A14">
        <f>Sales!A14</f>
        <v/>
      </c>
      <c r="B14">
        <f>Sales!G14</f>
        <v/>
      </c>
      <c r="C14" s="3">
        <f>IFERROR(INDEX(Products!$D$2:$D$10,MATCH(B14,Products!$A$2:$A$10,0)),0)</f>
        <v/>
      </c>
      <c r="D14">
        <f>Sales!D14</f>
        <v/>
      </c>
      <c r="E14" s="3">
        <f>IFERROR(INDEX(Targets!$C$2:$C$9,MATCH(D14,Targets!$B$2:$B$9,0)),0)</f>
        <v/>
      </c>
      <c r="F14" t="inlineStr">
        <is>
          <t>INDEX/MATCH</t>
        </is>
      </c>
      <c r="G14" t="inlineStr">
        <is>
          <t>INDEX/MATCH</t>
        </is>
      </c>
    </row>
    <row r="15">
      <c r="A15">
        <f>Sales!A15</f>
        <v/>
      </c>
      <c r="B15">
        <f>Sales!G15</f>
        <v/>
      </c>
      <c r="C15" s="3">
        <f>IFERROR(INDEX(Products!$D$2:$D$10,MATCH(B15,Products!$A$2:$A$10,0)),0)</f>
        <v/>
      </c>
      <c r="D15">
        <f>Sales!D15</f>
        <v/>
      </c>
      <c r="E15" s="3">
        <f>IFERROR(INDEX(Targets!$C$2:$C$9,MATCH(D15,Targets!$B$2:$B$9,0)),0)</f>
        <v/>
      </c>
      <c r="F15" t="inlineStr">
        <is>
          <t>INDEX/MATCH</t>
        </is>
      </c>
      <c r="G15" t="inlineStr">
        <is>
          <t>INDEX/MATCH</t>
        </is>
      </c>
    </row>
    <row r="16">
      <c r="A16">
        <f>Sales!A16</f>
        <v/>
      </c>
      <c r="B16">
        <f>Sales!G16</f>
        <v/>
      </c>
      <c r="C16" s="3">
        <f>IFERROR(INDEX(Products!$D$2:$D$10,MATCH(B16,Products!$A$2:$A$10,0)),0)</f>
        <v/>
      </c>
      <c r="D16">
        <f>Sales!D16</f>
        <v/>
      </c>
      <c r="E16" s="3">
        <f>IFERROR(INDEX(Targets!$C$2:$C$9,MATCH(D16,Targets!$B$2:$B$9,0)),0)</f>
        <v/>
      </c>
      <c r="F16" t="inlineStr">
        <is>
          <t>INDEX/MATCH</t>
        </is>
      </c>
      <c r="G16" t="inlineStr">
        <is>
          <t>INDEX/MATCH</t>
        </is>
      </c>
    </row>
    <row r="17">
      <c r="A17">
        <f>Sales!A17</f>
        <v/>
      </c>
      <c r="B17">
        <f>Sales!G17</f>
        <v/>
      </c>
      <c r="C17" s="3">
        <f>IFERROR(INDEX(Products!$D$2:$D$10,MATCH(B17,Products!$A$2:$A$10,0)),0)</f>
        <v/>
      </c>
      <c r="D17">
        <f>Sales!D17</f>
        <v/>
      </c>
      <c r="E17" s="3">
        <f>IFERROR(INDEX(Targets!$C$2:$C$9,MATCH(D17,Targets!$B$2:$B$9,0)),0)</f>
        <v/>
      </c>
      <c r="F17" t="inlineStr">
        <is>
          <t>INDEX/MATCH</t>
        </is>
      </c>
      <c r="G17" t="inlineStr">
        <is>
          <t>INDEX/MATCH</t>
        </is>
      </c>
    </row>
    <row r="18">
      <c r="A18">
        <f>Sales!A18</f>
        <v/>
      </c>
      <c r="B18">
        <f>Sales!G18</f>
        <v/>
      </c>
      <c r="C18" s="3">
        <f>IFERROR(INDEX(Products!$D$2:$D$10,MATCH(B18,Products!$A$2:$A$10,0)),0)</f>
        <v/>
      </c>
      <c r="D18">
        <f>Sales!D18</f>
        <v/>
      </c>
      <c r="E18" s="3">
        <f>IFERROR(INDEX(Targets!$C$2:$C$9,MATCH(D18,Targets!$B$2:$B$9,0)),0)</f>
        <v/>
      </c>
      <c r="F18" t="inlineStr">
        <is>
          <t>INDEX/MATCH</t>
        </is>
      </c>
      <c r="G18" t="inlineStr">
        <is>
          <t>INDEX/MATCH</t>
        </is>
      </c>
    </row>
    <row r="19">
      <c r="A19">
        <f>Sales!A19</f>
        <v/>
      </c>
      <c r="B19">
        <f>Sales!G19</f>
        <v/>
      </c>
      <c r="C19" s="3">
        <f>IFERROR(INDEX(Products!$D$2:$D$10,MATCH(B19,Products!$A$2:$A$10,0)),0)</f>
        <v/>
      </c>
      <c r="D19">
        <f>Sales!D19</f>
        <v/>
      </c>
      <c r="E19" s="3">
        <f>IFERROR(INDEX(Targets!$C$2:$C$9,MATCH(D19,Targets!$B$2:$B$9,0)),0)</f>
        <v/>
      </c>
      <c r="F19" t="inlineStr">
        <is>
          <t>INDEX/MATCH</t>
        </is>
      </c>
      <c r="G19" t="inlineStr">
        <is>
          <t>INDEX/MATCH</t>
        </is>
      </c>
    </row>
    <row r="20">
      <c r="A20">
        <f>Sales!A20</f>
        <v/>
      </c>
      <c r="B20">
        <f>Sales!G20</f>
        <v/>
      </c>
      <c r="C20" s="3">
        <f>IFERROR(INDEX(Products!$D$2:$D$10,MATCH(B20,Products!$A$2:$A$10,0)),0)</f>
        <v/>
      </c>
      <c r="D20">
        <f>Sales!D20</f>
        <v/>
      </c>
      <c r="E20" s="3">
        <f>IFERROR(INDEX(Targets!$C$2:$C$9,MATCH(D20,Targets!$B$2:$B$9,0)),0)</f>
        <v/>
      </c>
      <c r="F20" t="inlineStr">
        <is>
          <t>INDEX/MATCH</t>
        </is>
      </c>
      <c r="G20" t="inlineStr">
        <is>
          <t>INDEX/MATCH</t>
        </is>
      </c>
    </row>
    <row r="21">
      <c r="A21">
        <f>Sales!A21</f>
        <v/>
      </c>
      <c r="B21">
        <f>Sales!G21</f>
        <v/>
      </c>
      <c r="C21" s="3">
        <f>IFERROR(INDEX(Products!$D$2:$D$10,MATCH(B21,Products!$A$2:$A$10,0)),0)</f>
        <v/>
      </c>
      <c r="D21">
        <f>Sales!D21</f>
        <v/>
      </c>
      <c r="E21" s="3">
        <f>IFERROR(INDEX(Targets!$C$2:$C$9,MATCH(D21,Targets!$B$2:$B$9,0)),0)</f>
        <v/>
      </c>
      <c r="F21" t="inlineStr">
        <is>
          <t>INDEX/MATCH</t>
        </is>
      </c>
      <c r="G21" t="inlineStr">
        <is>
          <t>INDEX/MATCH</t>
        </is>
      </c>
    </row>
    <row r="22">
      <c r="A22">
        <f>Sales!A22</f>
        <v/>
      </c>
      <c r="B22">
        <f>Sales!G22</f>
        <v/>
      </c>
      <c r="C22" s="3">
        <f>IFERROR(INDEX(Products!$D$2:$D$10,MATCH(B22,Products!$A$2:$A$10,0)),0)</f>
        <v/>
      </c>
      <c r="D22">
        <f>Sales!D22</f>
        <v/>
      </c>
      <c r="E22" s="3">
        <f>IFERROR(INDEX(Targets!$C$2:$C$9,MATCH(D22,Targets!$B$2:$B$9,0)),0)</f>
        <v/>
      </c>
      <c r="F22" t="inlineStr">
        <is>
          <t>INDEX/MATCH</t>
        </is>
      </c>
      <c r="G22" t="inlineStr">
        <is>
          <t>INDEX/MATCH</t>
        </is>
      </c>
    </row>
    <row r="23">
      <c r="A23">
        <f>Sales!A23</f>
        <v/>
      </c>
      <c r="B23">
        <f>Sales!G23</f>
        <v/>
      </c>
      <c r="C23" s="3">
        <f>IFERROR(INDEX(Products!$D$2:$D$10,MATCH(B23,Products!$A$2:$A$10,0)),0)</f>
        <v/>
      </c>
      <c r="D23">
        <f>Sales!D23</f>
        <v/>
      </c>
      <c r="E23" s="3">
        <f>IFERROR(INDEX(Targets!$C$2:$C$9,MATCH(D23,Targets!$B$2:$B$9,0)),0)</f>
        <v/>
      </c>
      <c r="F23" t="inlineStr">
        <is>
          <t>INDEX/MATCH</t>
        </is>
      </c>
      <c r="G23" t="inlineStr">
        <is>
          <t>INDEX/MATCH</t>
        </is>
      </c>
    </row>
    <row r="24">
      <c r="A24">
        <f>Sales!A24</f>
        <v/>
      </c>
      <c r="B24">
        <f>Sales!G24</f>
        <v/>
      </c>
      <c r="C24" s="3">
        <f>IFERROR(INDEX(Products!$D$2:$D$10,MATCH(B24,Products!$A$2:$A$10,0)),0)</f>
        <v/>
      </c>
      <c r="D24">
        <f>Sales!D24</f>
        <v/>
      </c>
      <c r="E24" s="3">
        <f>IFERROR(INDEX(Targets!$C$2:$C$9,MATCH(D24,Targets!$B$2:$B$9,0)),0)</f>
        <v/>
      </c>
      <c r="F24" t="inlineStr">
        <is>
          <t>INDEX/MATCH</t>
        </is>
      </c>
      <c r="G24" t="inlineStr">
        <is>
          <t>INDEX/MATCH</t>
        </is>
      </c>
    </row>
    <row r="25">
      <c r="A25">
        <f>Sales!A25</f>
        <v/>
      </c>
      <c r="B25">
        <f>Sales!G25</f>
        <v/>
      </c>
      <c r="C25" s="3">
        <f>IFERROR(INDEX(Products!$D$2:$D$10,MATCH(B25,Products!$A$2:$A$10,0)),0)</f>
        <v/>
      </c>
      <c r="D25">
        <f>Sales!D25</f>
        <v/>
      </c>
      <c r="E25" s="3">
        <f>IFERROR(INDEX(Targets!$C$2:$C$9,MATCH(D25,Targets!$B$2:$B$9,0)),0)</f>
        <v/>
      </c>
      <c r="F25" t="inlineStr">
        <is>
          <t>INDEX/MATCH</t>
        </is>
      </c>
      <c r="G25" t="inlineStr">
        <is>
          <t>INDEX/MATCH</t>
        </is>
      </c>
    </row>
    <row r="26">
      <c r="A26">
        <f>Sales!A26</f>
        <v/>
      </c>
      <c r="B26">
        <f>Sales!G26</f>
        <v/>
      </c>
      <c r="C26" s="3">
        <f>IFERROR(INDEX(Products!$D$2:$D$10,MATCH(B26,Products!$A$2:$A$10,0)),0)</f>
        <v/>
      </c>
      <c r="D26">
        <f>Sales!D26</f>
        <v/>
      </c>
      <c r="E26" s="3">
        <f>IFERROR(INDEX(Targets!$C$2:$C$9,MATCH(D26,Targets!$B$2:$B$9,0)),0)</f>
        <v/>
      </c>
      <c r="F26" t="inlineStr">
        <is>
          <t>INDEX/MATCH</t>
        </is>
      </c>
      <c r="G26" t="inlineStr">
        <is>
          <t>INDEX/MATCH</t>
        </is>
      </c>
    </row>
    <row r="27">
      <c r="A27">
        <f>Sales!A27</f>
        <v/>
      </c>
      <c r="B27">
        <f>Sales!G27</f>
        <v/>
      </c>
      <c r="C27" s="3">
        <f>IFERROR(INDEX(Products!$D$2:$D$10,MATCH(B27,Products!$A$2:$A$10,0)),0)</f>
        <v/>
      </c>
      <c r="D27">
        <f>Sales!D27</f>
        <v/>
      </c>
      <c r="E27" s="3">
        <f>IFERROR(INDEX(Targets!$C$2:$C$9,MATCH(D27,Targets!$B$2:$B$9,0)),0)</f>
        <v/>
      </c>
      <c r="F27" t="inlineStr">
        <is>
          <t>INDEX/MATCH</t>
        </is>
      </c>
      <c r="G27" t="inlineStr">
        <is>
          <t>INDEX/MATCH</t>
        </is>
      </c>
    </row>
    <row r="28">
      <c r="A28">
        <f>Sales!A28</f>
        <v/>
      </c>
      <c r="B28">
        <f>Sales!G28</f>
        <v/>
      </c>
      <c r="C28" s="3">
        <f>IFERROR(INDEX(Products!$D$2:$D$10,MATCH(B28,Products!$A$2:$A$10,0)),0)</f>
        <v/>
      </c>
      <c r="D28">
        <f>Sales!D28</f>
        <v/>
      </c>
      <c r="E28" s="3">
        <f>IFERROR(INDEX(Targets!$C$2:$C$9,MATCH(D28,Targets!$B$2:$B$9,0)),0)</f>
        <v/>
      </c>
      <c r="F28" t="inlineStr">
        <is>
          <t>INDEX/MATCH</t>
        </is>
      </c>
      <c r="G28" t="inlineStr">
        <is>
          <t>INDEX/MATCH</t>
        </is>
      </c>
    </row>
    <row r="29">
      <c r="A29">
        <f>Sales!A29</f>
        <v/>
      </c>
      <c r="B29">
        <f>Sales!G29</f>
        <v/>
      </c>
      <c r="C29" s="3">
        <f>IFERROR(INDEX(Products!$D$2:$D$10,MATCH(B29,Products!$A$2:$A$10,0)),0)</f>
        <v/>
      </c>
      <c r="D29">
        <f>Sales!D29</f>
        <v/>
      </c>
      <c r="E29" s="3">
        <f>IFERROR(INDEX(Targets!$C$2:$C$9,MATCH(D29,Targets!$B$2:$B$9,0)),0)</f>
        <v/>
      </c>
      <c r="F29" t="inlineStr">
        <is>
          <t>INDEX/MATCH</t>
        </is>
      </c>
      <c r="G29" t="inlineStr">
        <is>
          <t>INDEX/MATCH</t>
        </is>
      </c>
    </row>
    <row r="30">
      <c r="A30">
        <f>Sales!A30</f>
        <v/>
      </c>
      <c r="B30">
        <f>Sales!G30</f>
        <v/>
      </c>
      <c r="C30" s="3">
        <f>IFERROR(INDEX(Products!$D$2:$D$10,MATCH(B30,Products!$A$2:$A$10,0)),0)</f>
        <v/>
      </c>
      <c r="D30">
        <f>Sales!D30</f>
        <v/>
      </c>
      <c r="E30" s="3">
        <f>IFERROR(INDEX(Targets!$C$2:$C$9,MATCH(D30,Targets!$B$2:$B$9,0)),0)</f>
        <v/>
      </c>
      <c r="F30" t="inlineStr">
        <is>
          <t>INDEX/MATCH</t>
        </is>
      </c>
      <c r="G30" t="inlineStr">
        <is>
          <t>INDEX/MATCH</t>
        </is>
      </c>
    </row>
    <row r="31">
      <c r="A31">
        <f>Sales!A31</f>
        <v/>
      </c>
      <c r="B31">
        <f>Sales!G31</f>
        <v/>
      </c>
      <c r="C31" s="3">
        <f>IFERROR(INDEX(Products!$D$2:$D$10,MATCH(B31,Products!$A$2:$A$10,0)),0)</f>
        <v/>
      </c>
      <c r="D31">
        <f>Sales!D31</f>
        <v/>
      </c>
      <c r="E31" s="3">
        <f>IFERROR(INDEX(Targets!$C$2:$C$9,MATCH(D31,Targets!$B$2:$B$9,0)),0)</f>
        <v/>
      </c>
      <c r="F31" t="inlineStr">
        <is>
          <t>INDEX/MATCH</t>
        </is>
      </c>
      <c r="G31" t="inlineStr">
        <is>
          <t>INDEX/MATCH</t>
        </is>
      </c>
    </row>
    <row r="32">
      <c r="A32">
        <f>Sales!A32</f>
        <v/>
      </c>
      <c r="B32">
        <f>Sales!G32</f>
        <v/>
      </c>
      <c r="C32" s="3">
        <f>IFERROR(INDEX(Products!$D$2:$D$10,MATCH(B32,Products!$A$2:$A$10,0)),0)</f>
        <v/>
      </c>
      <c r="D32">
        <f>Sales!D32</f>
        <v/>
      </c>
      <c r="E32" s="3">
        <f>IFERROR(INDEX(Targets!$C$2:$C$9,MATCH(D32,Targets!$B$2:$B$9,0)),0)</f>
        <v/>
      </c>
      <c r="F32" t="inlineStr">
        <is>
          <t>INDEX/MATCH</t>
        </is>
      </c>
      <c r="G32" t="inlineStr">
        <is>
          <t>INDEX/MATCH</t>
        </is>
      </c>
    </row>
    <row r="33">
      <c r="A33">
        <f>Sales!A33</f>
        <v/>
      </c>
      <c r="B33">
        <f>Sales!G33</f>
        <v/>
      </c>
      <c r="C33" s="3">
        <f>IFERROR(INDEX(Products!$D$2:$D$10,MATCH(B33,Products!$A$2:$A$10,0)),0)</f>
        <v/>
      </c>
      <c r="D33">
        <f>Sales!D33</f>
        <v/>
      </c>
      <c r="E33" s="3">
        <f>IFERROR(INDEX(Targets!$C$2:$C$9,MATCH(D33,Targets!$B$2:$B$9,0)),0)</f>
        <v/>
      </c>
      <c r="F33" t="inlineStr">
        <is>
          <t>INDEX/MATCH</t>
        </is>
      </c>
      <c r="G33" t="inlineStr">
        <is>
          <t>INDEX/MATCH</t>
        </is>
      </c>
    </row>
    <row r="34">
      <c r="A34">
        <f>Sales!A34</f>
        <v/>
      </c>
      <c r="B34">
        <f>Sales!G34</f>
        <v/>
      </c>
      <c r="C34" s="3">
        <f>IFERROR(INDEX(Products!$D$2:$D$10,MATCH(B34,Products!$A$2:$A$10,0)),0)</f>
        <v/>
      </c>
      <c r="D34">
        <f>Sales!D34</f>
        <v/>
      </c>
      <c r="E34" s="3">
        <f>IFERROR(INDEX(Targets!$C$2:$C$9,MATCH(D34,Targets!$B$2:$B$9,0)),0)</f>
        <v/>
      </c>
      <c r="F34" t="inlineStr">
        <is>
          <t>INDEX/MATCH</t>
        </is>
      </c>
      <c r="G34" t="inlineStr">
        <is>
          <t>INDEX/MATCH</t>
        </is>
      </c>
    </row>
    <row r="35">
      <c r="A35">
        <f>Sales!A35</f>
        <v/>
      </c>
      <c r="B35">
        <f>Sales!G35</f>
        <v/>
      </c>
      <c r="C35" s="3">
        <f>IFERROR(INDEX(Products!$D$2:$D$10,MATCH(B35,Products!$A$2:$A$10,0)),0)</f>
        <v/>
      </c>
      <c r="D35">
        <f>Sales!D35</f>
        <v/>
      </c>
      <c r="E35" s="3">
        <f>IFERROR(INDEX(Targets!$C$2:$C$9,MATCH(D35,Targets!$B$2:$B$9,0)),0)</f>
        <v/>
      </c>
      <c r="F35" t="inlineStr">
        <is>
          <t>INDEX/MATCH</t>
        </is>
      </c>
      <c r="G35" t="inlineStr">
        <is>
          <t>INDEX/MATCH</t>
        </is>
      </c>
    </row>
    <row r="36">
      <c r="A36">
        <f>Sales!A36</f>
        <v/>
      </c>
      <c r="B36">
        <f>Sales!G36</f>
        <v/>
      </c>
      <c r="C36" s="3">
        <f>IFERROR(INDEX(Products!$D$2:$D$10,MATCH(B36,Products!$A$2:$A$10,0)),0)</f>
        <v/>
      </c>
      <c r="D36">
        <f>Sales!D36</f>
        <v/>
      </c>
      <c r="E36" s="3">
        <f>IFERROR(INDEX(Targets!$C$2:$C$9,MATCH(D36,Targets!$B$2:$B$9,0)),0)</f>
        <v/>
      </c>
      <c r="F36" t="inlineStr">
        <is>
          <t>INDEX/MATCH</t>
        </is>
      </c>
      <c r="G36" t="inlineStr">
        <is>
          <t>INDEX/MATCH</t>
        </is>
      </c>
    </row>
    <row r="37">
      <c r="A37">
        <f>Sales!A37</f>
        <v/>
      </c>
      <c r="B37">
        <f>Sales!G37</f>
        <v/>
      </c>
      <c r="C37" s="3">
        <f>IFERROR(INDEX(Products!$D$2:$D$10,MATCH(B37,Products!$A$2:$A$10,0)),0)</f>
        <v/>
      </c>
      <c r="D37">
        <f>Sales!D37</f>
        <v/>
      </c>
      <c r="E37" s="3">
        <f>IFERROR(INDEX(Targets!$C$2:$C$9,MATCH(D37,Targets!$B$2:$B$9,0)),0)</f>
        <v/>
      </c>
      <c r="F37" t="inlineStr">
        <is>
          <t>INDEX/MATCH</t>
        </is>
      </c>
      <c r="G37" t="inlineStr">
        <is>
          <t>INDEX/MATCH</t>
        </is>
      </c>
    </row>
    <row r="38">
      <c r="A38">
        <f>Sales!A38</f>
        <v/>
      </c>
      <c r="B38">
        <f>Sales!G38</f>
        <v/>
      </c>
      <c r="C38" s="3">
        <f>IFERROR(INDEX(Products!$D$2:$D$10,MATCH(B38,Products!$A$2:$A$10,0)),0)</f>
        <v/>
      </c>
      <c r="D38">
        <f>Sales!D38</f>
        <v/>
      </c>
      <c r="E38" s="3">
        <f>IFERROR(INDEX(Targets!$C$2:$C$9,MATCH(D38,Targets!$B$2:$B$9,0)),0)</f>
        <v/>
      </c>
      <c r="F38" t="inlineStr">
        <is>
          <t>INDEX/MATCH</t>
        </is>
      </c>
      <c r="G38" t="inlineStr">
        <is>
          <t>INDEX/MATCH</t>
        </is>
      </c>
    </row>
    <row r="39">
      <c r="A39">
        <f>Sales!A39</f>
        <v/>
      </c>
      <c r="B39">
        <f>Sales!G39</f>
        <v/>
      </c>
      <c r="C39" s="3">
        <f>IFERROR(INDEX(Products!$D$2:$D$10,MATCH(B39,Products!$A$2:$A$10,0)),0)</f>
        <v/>
      </c>
      <c r="D39">
        <f>Sales!D39</f>
        <v/>
      </c>
      <c r="E39" s="3">
        <f>IFERROR(INDEX(Targets!$C$2:$C$9,MATCH(D39,Targets!$B$2:$B$9,0)),0)</f>
        <v/>
      </c>
      <c r="F39" t="inlineStr">
        <is>
          <t>INDEX/MATCH</t>
        </is>
      </c>
      <c r="G39" t="inlineStr">
        <is>
          <t>INDEX/MATCH</t>
        </is>
      </c>
    </row>
    <row r="40">
      <c r="A40">
        <f>Sales!A40</f>
        <v/>
      </c>
      <c r="B40">
        <f>Sales!G40</f>
        <v/>
      </c>
      <c r="C40" s="3">
        <f>IFERROR(INDEX(Products!$D$2:$D$10,MATCH(B40,Products!$A$2:$A$10,0)),0)</f>
        <v/>
      </c>
      <c r="D40">
        <f>Sales!D40</f>
        <v/>
      </c>
      <c r="E40" s="3">
        <f>IFERROR(INDEX(Targets!$C$2:$C$9,MATCH(D40,Targets!$B$2:$B$9,0)),0)</f>
        <v/>
      </c>
      <c r="F40" t="inlineStr">
        <is>
          <t>INDEX/MATCH</t>
        </is>
      </c>
      <c r="G40" t="inlineStr">
        <is>
          <t>INDEX/MATCH</t>
        </is>
      </c>
    </row>
    <row r="41">
      <c r="A41">
        <f>Sales!A41</f>
        <v/>
      </c>
      <c r="B41">
        <f>Sales!G41</f>
        <v/>
      </c>
      <c r="C41" s="3">
        <f>IFERROR(INDEX(Products!$D$2:$D$10,MATCH(B41,Products!$A$2:$A$10,0)),0)</f>
        <v/>
      </c>
      <c r="D41">
        <f>Sales!D41</f>
        <v/>
      </c>
      <c r="E41" s="3">
        <f>IFERROR(INDEX(Targets!$C$2:$C$9,MATCH(D41,Targets!$B$2:$B$9,0)),0)</f>
        <v/>
      </c>
      <c r="F41" t="inlineStr">
        <is>
          <t>INDEX/MATCH</t>
        </is>
      </c>
      <c r="G41" t="inlineStr">
        <is>
          <t>INDEX/MATCH</t>
        </is>
      </c>
    </row>
    <row r="42">
      <c r="A42">
        <f>Sales!A42</f>
        <v/>
      </c>
      <c r="B42">
        <f>Sales!G42</f>
        <v/>
      </c>
      <c r="C42" s="3">
        <f>IFERROR(INDEX(Products!$D$2:$D$10,MATCH(B42,Products!$A$2:$A$10,0)),0)</f>
        <v/>
      </c>
      <c r="D42">
        <f>Sales!D42</f>
        <v/>
      </c>
      <c r="E42" s="3">
        <f>IFERROR(INDEX(Targets!$C$2:$C$9,MATCH(D42,Targets!$B$2:$B$9,0)),0)</f>
        <v/>
      </c>
      <c r="F42" t="inlineStr">
        <is>
          <t>INDEX/MATCH</t>
        </is>
      </c>
      <c r="G42" t="inlineStr">
        <is>
          <t>INDEX/MATCH</t>
        </is>
      </c>
    </row>
    <row r="43">
      <c r="A43">
        <f>Sales!A43</f>
        <v/>
      </c>
      <c r="B43">
        <f>Sales!G43</f>
        <v/>
      </c>
      <c r="C43" s="3">
        <f>IFERROR(INDEX(Products!$D$2:$D$10,MATCH(B43,Products!$A$2:$A$10,0)),0)</f>
        <v/>
      </c>
      <c r="D43">
        <f>Sales!D43</f>
        <v/>
      </c>
      <c r="E43" s="3">
        <f>IFERROR(INDEX(Targets!$C$2:$C$9,MATCH(D43,Targets!$B$2:$B$9,0)),0)</f>
        <v/>
      </c>
      <c r="F43" t="inlineStr">
        <is>
          <t>INDEX/MATCH</t>
        </is>
      </c>
      <c r="G43" t="inlineStr">
        <is>
          <t>INDEX/MATCH</t>
        </is>
      </c>
    </row>
    <row r="44">
      <c r="A44">
        <f>Sales!A44</f>
        <v/>
      </c>
      <c r="B44">
        <f>Sales!G44</f>
        <v/>
      </c>
      <c r="C44" s="3">
        <f>IFERROR(INDEX(Products!$D$2:$D$10,MATCH(B44,Products!$A$2:$A$10,0)),0)</f>
        <v/>
      </c>
      <c r="D44">
        <f>Sales!D44</f>
        <v/>
      </c>
      <c r="E44" s="3">
        <f>IFERROR(INDEX(Targets!$C$2:$C$9,MATCH(D44,Targets!$B$2:$B$9,0)),0)</f>
        <v/>
      </c>
      <c r="F44" t="inlineStr">
        <is>
          <t>INDEX/MATCH</t>
        </is>
      </c>
      <c r="G44" t="inlineStr">
        <is>
          <t>INDEX/MATCH</t>
        </is>
      </c>
    </row>
    <row r="45">
      <c r="A45">
        <f>Sales!A45</f>
        <v/>
      </c>
      <c r="B45">
        <f>Sales!G45</f>
        <v/>
      </c>
      <c r="C45" s="3">
        <f>IFERROR(INDEX(Products!$D$2:$D$10,MATCH(B45,Products!$A$2:$A$10,0)),0)</f>
        <v/>
      </c>
      <c r="D45">
        <f>Sales!D45</f>
        <v/>
      </c>
      <c r="E45" s="3">
        <f>IFERROR(INDEX(Targets!$C$2:$C$9,MATCH(D45,Targets!$B$2:$B$9,0)),0)</f>
        <v/>
      </c>
      <c r="F45" t="inlineStr">
        <is>
          <t>INDEX/MATCH</t>
        </is>
      </c>
      <c r="G45" t="inlineStr">
        <is>
          <t>INDEX/MATCH</t>
        </is>
      </c>
    </row>
    <row r="46">
      <c r="A46">
        <f>Sales!A46</f>
        <v/>
      </c>
      <c r="B46">
        <f>Sales!G46</f>
        <v/>
      </c>
      <c r="C46" s="3">
        <f>IFERROR(INDEX(Products!$D$2:$D$10,MATCH(B46,Products!$A$2:$A$10,0)),0)</f>
        <v/>
      </c>
      <c r="D46">
        <f>Sales!D46</f>
        <v/>
      </c>
      <c r="E46" s="3">
        <f>IFERROR(INDEX(Targets!$C$2:$C$9,MATCH(D46,Targets!$B$2:$B$9,0)),0)</f>
        <v/>
      </c>
      <c r="F46" t="inlineStr">
        <is>
          <t>INDEX/MATCH</t>
        </is>
      </c>
      <c r="G46" t="inlineStr">
        <is>
          <t>INDEX/MATCH</t>
        </is>
      </c>
    </row>
    <row r="47">
      <c r="A47">
        <f>Sales!A47</f>
        <v/>
      </c>
      <c r="B47">
        <f>Sales!G47</f>
        <v/>
      </c>
      <c r="C47" s="3">
        <f>IFERROR(INDEX(Products!$D$2:$D$10,MATCH(B47,Products!$A$2:$A$10,0)),0)</f>
        <v/>
      </c>
      <c r="D47">
        <f>Sales!D47</f>
        <v/>
      </c>
      <c r="E47" s="3">
        <f>IFERROR(INDEX(Targets!$C$2:$C$9,MATCH(D47,Targets!$B$2:$B$9,0)),0)</f>
        <v/>
      </c>
      <c r="F47" t="inlineStr">
        <is>
          <t>INDEX/MATCH</t>
        </is>
      </c>
      <c r="G47" t="inlineStr">
        <is>
          <t>INDEX/MATCH</t>
        </is>
      </c>
    </row>
    <row r="48">
      <c r="A48">
        <f>Sales!A48</f>
        <v/>
      </c>
      <c r="B48">
        <f>Sales!G48</f>
        <v/>
      </c>
      <c r="C48" s="3">
        <f>IFERROR(INDEX(Products!$D$2:$D$10,MATCH(B48,Products!$A$2:$A$10,0)),0)</f>
        <v/>
      </c>
      <c r="D48">
        <f>Sales!D48</f>
        <v/>
      </c>
      <c r="E48" s="3">
        <f>IFERROR(INDEX(Targets!$C$2:$C$9,MATCH(D48,Targets!$B$2:$B$9,0)),0)</f>
        <v/>
      </c>
      <c r="F48" t="inlineStr">
        <is>
          <t>INDEX/MATCH</t>
        </is>
      </c>
      <c r="G48" t="inlineStr">
        <is>
          <t>INDEX/MATCH</t>
        </is>
      </c>
    </row>
    <row r="49">
      <c r="A49">
        <f>Sales!A49</f>
        <v/>
      </c>
      <c r="B49">
        <f>Sales!G49</f>
        <v/>
      </c>
      <c r="C49" s="3">
        <f>IFERROR(INDEX(Products!$D$2:$D$10,MATCH(B49,Products!$A$2:$A$10,0)),0)</f>
        <v/>
      </c>
      <c r="D49">
        <f>Sales!D49</f>
        <v/>
      </c>
      <c r="E49" s="3">
        <f>IFERROR(INDEX(Targets!$C$2:$C$9,MATCH(D49,Targets!$B$2:$B$9,0)),0)</f>
        <v/>
      </c>
      <c r="F49" t="inlineStr">
        <is>
          <t>INDEX/MATCH</t>
        </is>
      </c>
      <c r="G49" t="inlineStr">
        <is>
          <t>INDEX/MATCH</t>
        </is>
      </c>
    </row>
    <row r="50">
      <c r="A50">
        <f>Sales!A50</f>
        <v/>
      </c>
      <c r="B50">
        <f>Sales!G50</f>
        <v/>
      </c>
      <c r="C50" s="3">
        <f>IFERROR(INDEX(Products!$D$2:$D$10,MATCH(B50,Products!$A$2:$A$10,0)),0)</f>
        <v/>
      </c>
      <c r="D50">
        <f>Sales!D50</f>
        <v/>
      </c>
      <c r="E50" s="3">
        <f>IFERROR(INDEX(Targets!$C$2:$C$9,MATCH(D50,Targets!$B$2:$B$9,0)),0)</f>
        <v/>
      </c>
      <c r="F50" t="inlineStr">
        <is>
          <t>INDEX/MATCH</t>
        </is>
      </c>
      <c r="G50" t="inlineStr">
        <is>
          <t>INDEX/MATCH</t>
        </is>
      </c>
    </row>
    <row r="51">
      <c r="A51">
        <f>Sales!A51</f>
        <v/>
      </c>
      <c r="B51">
        <f>Sales!G51</f>
        <v/>
      </c>
      <c r="C51" s="3">
        <f>IFERROR(INDEX(Products!$D$2:$D$10,MATCH(B51,Products!$A$2:$A$10,0)),0)</f>
        <v/>
      </c>
      <c r="D51">
        <f>Sales!D51</f>
        <v/>
      </c>
      <c r="E51" s="3">
        <f>IFERROR(INDEX(Targets!$C$2:$C$9,MATCH(D51,Targets!$B$2:$B$9,0)),0)</f>
        <v/>
      </c>
      <c r="F51" t="inlineStr">
        <is>
          <t>INDEX/MATCH</t>
        </is>
      </c>
      <c r="G51" t="inlineStr">
        <is>
          <t>INDEX/MATCH</t>
        </is>
      </c>
    </row>
    <row r="52">
      <c r="A52">
        <f>Sales!A52</f>
        <v/>
      </c>
      <c r="B52">
        <f>Sales!G52</f>
        <v/>
      </c>
      <c r="C52" s="3">
        <f>IFERROR(INDEX(Products!$D$2:$D$10,MATCH(B52,Products!$A$2:$A$10,0)),0)</f>
        <v/>
      </c>
      <c r="D52">
        <f>Sales!D52</f>
        <v/>
      </c>
      <c r="E52" s="3">
        <f>IFERROR(INDEX(Targets!$C$2:$C$9,MATCH(D52,Targets!$B$2:$B$9,0)),0)</f>
        <v/>
      </c>
      <c r="F52" t="inlineStr">
        <is>
          <t>INDEX/MATCH</t>
        </is>
      </c>
      <c r="G52" t="inlineStr">
        <is>
          <t>INDEX/MATCH</t>
        </is>
      </c>
    </row>
    <row r="53">
      <c r="A53">
        <f>Sales!A53</f>
        <v/>
      </c>
      <c r="B53">
        <f>Sales!G53</f>
        <v/>
      </c>
      <c r="C53" s="3">
        <f>IFERROR(INDEX(Products!$D$2:$D$10,MATCH(B53,Products!$A$2:$A$10,0)),0)</f>
        <v/>
      </c>
      <c r="D53">
        <f>Sales!D53</f>
        <v/>
      </c>
      <c r="E53" s="3">
        <f>IFERROR(INDEX(Targets!$C$2:$C$9,MATCH(D53,Targets!$B$2:$B$9,0)),0)</f>
        <v/>
      </c>
      <c r="F53" t="inlineStr">
        <is>
          <t>INDEX/MATCH</t>
        </is>
      </c>
      <c r="G53" t="inlineStr">
        <is>
          <t>INDEX/MATCH</t>
        </is>
      </c>
    </row>
    <row r="54">
      <c r="A54">
        <f>Sales!A54</f>
        <v/>
      </c>
      <c r="B54">
        <f>Sales!G54</f>
        <v/>
      </c>
      <c r="C54" s="3">
        <f>IFERROR(INDEX(Products!$D$2:$D$10,MATCH(B54,Products!$A$2:$A$10,0)),0)</f>
        <v/>
      </c>
      <c r="D54">
        <f>Sales!D54</f>
        <v/>
      </c>
      <c r="E54" s="3">
        <f>IFERROR(INDEX(Targets!$C$2:$C$9,MATCH(D54,Targets!$B$2:$B$9,0)),0)</f>
        <v/>
      </c>
      <c r="F54" t="inlineStr">
        <is>
          <t>INDEX/MATCH</t>
        </is>
      </c>
      <c r="G54" t="inlineStr">
        <is>
          <t>INDEX/MATCH</t>
        </is>
      </c>
    </row>
    <row r="55">
      <c r="A55">
        <f>Sales!A55</f>
        <v/>
      </c>
      <c r="B55">
        <f>Sales!G55</f>
        <v/>
      </c>
      <c r="C55" s="3">
        <f>IFERROR(INDEX(Products!$D$2:$D$10,MATCH(B55,Products!$A$2:$A$10,0)),0)</f>
        <v/>
      </c>
      <c r="D55">
        <f>Sales!D55</f>
        <v/>
      </c>
      <c r="E55" s="3">
        <f>IFERROR(INDEX(Targets!$C$2:$C$9,MATCH(D55,Targets!$B$2:$B$9,0)),0)</f>
        <v/>
      </c>
      <c r="F55" t="inlineStr">
        <is>
          <t>INDEX/MATCH</t>
        </is>
      </c>
      <c r="G55" t="inlineStr">
        <is>
          <t>INDEX/MATCH</t>
        </is>
      </c>
    </row>
    <row r="56">
      <c r="A56">
        <f>Sales!A56</f>
        <v/>
      </c>
      <c r="B56">
        <f>Sales!G56</f>
        <v/>
      </c>
      <c r="C56" s="3">
        <f>IFERROR(INDEX(Products!$D$2:$D$10,MATCH(B56,Products!$A$2:$A$10,0)),0)</f>
        <v/>
      </c>
      <c r="D56">
        <f>Sales!D56</f>
        <v/>
      </c>
      <c r="E56" s="3">
        <f>IFERROR(INDEX(Targets!$C$2:$C$9,MATCH(D56,Targets!$B$2:$B$9,0)),0)</f>
        <v/>
      </c>
      <c r="F56" t="inlineStr">
        <is>
          <t>INDEX/MATCH</t>
        </is>
      </c>
      <c r="G56" t="inlineStr">
        <is>
          <t>INDEX/MATCH</t>
        </is>
      </c>
    </row>
    <row r="57">
      <c r="A57">
        <f>Sales!A57</f>
        <v/>
      </c>
      <c r="B57">
        <f>Sales!G57</f>
        <v/>
      </c>
      <c r="C57" s="3">
        <f>IFERROR(INDEX(Products!$D$2:$D$10,MATCH(B57,Products!$A$2:$A$10,0)),0)</f>
        <v/>
      </c>
      <c r="D57">
        <f>Sales!D57</f>
        <v/>
      </c>
      <c r="E57" s="3">
        <f>IFERROR(INDEX(Targets!$C$2:$C$9,MATCH(D57,Targets!$B$2:$B$9,0)),0)</f>
        <v/>
      </c>
      <c r="F57" t="inlineStr">
        <is>
          <t>INDEX/MATCH</t>
        </is>
      </c>
      <c r="G57" t="inlineStr">
        <is>
          <t>INDEX/MATCH</t>
        </is>
      </c>
    </row>
    <row r="58">
      <c r="A58">
        <f>Sales!A58</f>
        <v/>
      </c>
      <c r="B58">
        <f>Sales!G58</f>
        <v/>
      </c>
      <c r="C58" s="3">
        <f>IFERROR(INDEX(Products!$D$2:$D$10,MATCH(B58,Products!$A$2:$A$10,0)),0)</f>
        <v/>
      </c>
      <c r="D58">
        <f>Sales!D58</f>
        <v/>
      </c>
      <c r="E58" s="3">
        <f>IFERROR(INDEX(Targets!$C$2:$C$9,MATCH(D58,Targets!$B$2:$B$9,0)),0)</f>
        <v/>
      </c>
      <c r="F58" t="inlineStr">
        <is>
          <t>INDEX/MATCH</t>
        </is>
      </c>
      <c r="G58" t="inlineStr">
        <is>
          <t>INDEX/MATCH</t>
        </is>
      </c>
    </row>
    <row r="59">
      <c r="A59">
        <f>Sales!A59</f>
        <v/>
      </c>
      <c r="B59">
        <f>Sales!G59</f>
        <v/>
      </c>
      <c r="C59" s="3">
        <f>IFERROR(INDEX(Products!$D$2:$D$10,MATCH(B59,Products!$A$2:$A$10,0)),0)</f>
        <v/>
      </c>
      <c r="D59">
        <f>Sales!D59</f>
        <v/>
      </c>
      <c r="E59" s="3">
        <f>IFERROR(INDEX(Targets!$C$2:$C$9,MATCH(D59,Targets!$B$2:$B$9,0)),0)</f>
        <v/>
      </c>
      <c r="F59" t="inlineStr">
        <is>
          <t>INDEX/MATCH</t>
        </is>
      </c>
      <c r="G59" t="inlineStr">
        <is>
          <t>INDEX/MATCH</t>
        </is>
      </c>
    </row>
    <row r="60">
      <c r="A60">
        <f>Sales!A60</f>
        <v/>
      </c>
      <c r="B60">
        <f>Sales!G60</f>
        <v/>
      </c>
      <c r="C60" s="3">
        <f>IFERROR(INDEX(Products!$D$2:$D$10,MATCH(B60,Products!$A$2:$A$10,0)),0)</f>
        <v/>
      </c>
      <c r="D60">
        <f>Sales!D60</f>
        <v/>
      </c>
      <c r="E60" s="3">
        <f>IFERROR(INDEX(Targets!$C$2:$C$9,MATCH(D60,Targets!$B$2:$B$9,0)),0)</f>
        <v/>
      </c>
      <c r="F60" t="inlineStr">
        <is>
          <t>INDEX/MATCH</t>
        </is>
      </c>
      <c r="G60" t="inlineStr">
        <is>
          <t>INDEX/MATCH</t>
        </is>
      </c>
    </row>
    <row r="61">
      <c r="A61">
        <f>Sales!A61</f>
        <v/>
      </c>
      <c r="B61">
        <f>Sales!G61</f>
        <v/>
      </c>
      <c r="C61" s="3">
        <f>IFERROR(INDEX(Products!$D$2:$D$10,MATCH(B61,Products!$A$2:$A$10,0)),0)</f>
        <v/>
      </c>
      <c r="D61">
        <f>Sales!D61</f>
        <v/>
      </c>
      <c r="E61" s="3">
        <f>IFERROR(INDEX(Targets!$C$2:$C$9,MATCH(D61,Targets!$B$2:$B$9,0)),0)</f>
        <v/>
      </c>
      <c r="F61" t="inlineStr">
        <is>
          <t>INDEX/MATCH</t>
        </is>
      </c>
      <c r="G61" t="inlineStr">
        <is>
          <t>INDEX/MATCH</t>
        </is>
      </c>
    </row>
    <row r="62">
      <c r="A62">
        <f>Sales!A62</f>
        <v/>
      </c>
      <c r="B62">
        <f>Sales!G62</f>
        <v/>
      </c>
      <c r="C62" s="3">
        <f>IFERROR(INDEX(Products!$D$2:$D$10,MATCH(B62,Products!$A$2:$A$10,0)),0)</f>
        <v/>
      </c>
      <c r="D62">
        <f>Sales!D62</f>
        <v/>
      </c>
      <c r="E62" s="3">
        <f>IFERROR(INDEX(Targets!$C$2:$C$9,MATCH(D62,Targets!$B$2:$B$9,0)),0)</f>
        <v/>
      </c>
      <c r="F62" t="inlineStr">
        <is>
          <t>INDEX/MATCH</t>
        </is>
      </c>
      <c r="G62" t="inlineStr">
        <is>
          <t>INDEX/MATCH</t>
        </is>
      </c>
    </row>
    <row r="63">
      <c r="A63">
        <f>Sales!A63</f>
        <v/>
      </c>
      <c r="B63">
        <f>Sales!G63</f>
        <v/>
      </c>
      <c r="C63" s="3">
        <f>IFERROR(INDEX(Products!$D$2:$D$10,MATCH(B63,Products!$A$2:$A$10,0)),0)</f>
        <v/>
      </c>
      <c r="D63">
        <f>Sales!D63</f>
        <v/>
      </c>
      <c r="E63" s="3">
        <f>IFERROR(INDEX(Targets!$C$2:$C$9,MATCH(D63,Targets!$B$2:$B$9,0)),0)</f>
        <v/>
      </c>
      <c r="F63" t="inlineStr">
        <is>
          <t>INDEX/MATCH</t>
        </is>
      </c>
      <c r="G63" t="inlineStr">
        <is>
          <t>INDEX/MATCH</t>
        </is>
      </c>
    </row>
    <row r="64">
      <c r="A64">
        <f>Sales!A64</f>
        <v/>
      </c>
      <c r="B64">
        <f>Sales!G64</f>
        <v/>
      </c>
      <c r="C64" s="3">
        <f>IFERROR(INDEX(Products!$D$2:$D$10,MATCH(B64,Products!$A$2:$A$10,0)),0)</f>
        <v/>
      </c>
      <c r="D64">
        <f>Sales!D64</f>
        <v/>
      </c>
      <c r="E64" s="3">
        <f>IFERROR(INDEX(Targets!$C$2:$C$9,MATCH(D64,Targets!$B$2:$B$9,0)),0)</f>
        <v/>
      </c>
      <c r="F64" t="inlineStr">
        <is>
          <t>INDEX/MATCH</t>
        </is>
      </c>
      <c r="G64" t="inlineStr">
        <is>
          <t>INDEX/MATCH</t>
        </is>
      </c>
    </row>
    <row r="65">
      <c r="A65">
        <f>Sales!A65</f>
        <v/>
      </c>
      <c r="B65">
        <f>Sales!G65</f>
        <v/>
      </c>
      <c r="C65" s="3">
        <f>IFERROR(INDEX(Products!$D$2:$D$10,MATCH(B65,Products!$A$2:$A$10,0)),0)</f>
        <v/>
      </c>
      <c r="D65">
        <f>Sales!D65</f>
        <v/>
      </c>
      <c r="E65" s="3">
        <f>IFERROR(INDEX(Targets!$C$2:$C$9,MATCH(D65,Targets!$B$2:$B$9,0)),0)</f>
        <v/>
      </c>
      <c r="F65" t="inlineStr">
        <is>
          <t>INDEX/MATCH</t>
        </is>
      </c>
      <c r="G65" t="inlineStr">
        <is>
          <t>INDEX/MATCH</t>
        </is>
      </c>
    </row>
    <row r="66">
      <c r="A66">
        <f>Sales!A66</f>
        <v/>
      </c>
      <c r="B66">
        <f>Sales!G66</f>
        <v/>
      </c>
      <c r="C66" s="3">
        <f>IFERROR(INDEX(Products!$D$2:$D$10,MATCH(B66,Products!$A$2:$A$10,0)),0)</f>
        <v/>
      </c>
      <c r="D66">
        <f>Sales!D66</f>
        <v/>
      </c>
      <c r="E66" s="3">
        <f>IFERROR(INDEX(Targets!$C$2:$C$9,MATCH(D66,Targets!$B$2:$B$9,0)),0)</f>
        <v/>
      </c>
      <c r="F66" t="inlineStr">
        <is>
          <t>INDEX/MATCH</t>
        </is>
      </c>
      <c r="G66" t="inlineStr">
        <is>
          <t>INDEX/MATCH</t>
        </is>
      </c>
    </row>
    <row r="67">
      <c r="A67">
        <f>Sales!A67</f>
        <v/>
      </c>
      <c r="B67">
        <f>Sales!G67</f>
        <v/>
      </c>
      <c r="C67" s="3">
        <f>IFERROR(INDEX(Products!$D$2:$D$10,MATCH(B67,Products!$A$2:$A$10,0)),0)</f>
        <v/>
      </c>
      <c r="D67">
        <f>Sales!D67</f>
        <v/>
      </c>
      <c r="E67" s="3">
        <f>IFERROR(INDEX(Targets!$C$2:$C$9,MATCH(D67,Targets!$B$2:$B$9,0)),0)</f>
        <v/>
      </c>
      <c r="F67" t="inlineStr">
        <is>
          <t>INDEX/MATCH</t>
        </is>
      </c>
      <c r="G67" t="inlineStr">
        <is>
          <t>INDEX/MATCH</t>
        </is>
      </c>
    </row>
    <row r="68">
      <c r="A68">
        <f>Sales!A68</f>
        <v/>
      </c>
      <c r="B68">
        <f>Sales!G68</f>
        <v/>
      </c>
      <c r="C68" s="3">
        <f>IFERROR(INDEX(Products!$D$2:$D$10,MATCH(B68,Products!$A$2:$A$10,0)),0)</f>
        <v/>
      </c>
      <c r="D68">
        <f>Sales!D68</f>
        <v/>
      </c>
      <c r="E68" s="3">
        <f>IFERROR(INDEX(Targets!$C$2:$C$9,MATCH(D68,Targets!$B$2:$B$9,0)),0)</f>
        <v/>
      </c>
      <c r="F68" t="inlineStr">
        <is>
          <t>INDEX/MATCH</t>
        </is>
      </c>
      <c r="G68" t="inlineStr">
        <is>
          <t>INDEX/MATCH</t>
        </is>
      </c>
    </row>
    <row r="69">
      <c r="A69">
        <f>Sales!A69</f>
        <v/>
      </c>
      <c r="B69">
        <f>Sales!G69</f>
        <v/>
      </c>
      <c r="C69" s="3">
        <f>IFERROR(INDEX(Products!$D$2:$D$10,MATCH(B69,Products!$A$2:$A$10,0)),0)</f>
        <v/>
      </c>
      <c r="D69">
        <f>Sales!D69</f>
        <v/>
      </c>
      <c r="E69" s="3">
        <f>IFERROR(INDEX(Targets!$C$2:$C$9,MATCH(D69,Targets!$B$2:$B$9,0)),0)</f>
        <v/>
      </c>
      <c r="F69" t="inlineStr">
        <is>
          <t>INDEX/MATCH</t>
        </is>
      </c>
      <c r="G69" t="inlineStr">
        <is>
          <t>INDEX/MATCH</t>
        </is>
      </c>
    </row>
    <row r="70">
      <c r="A70">
        <f>Sales!A70</f>
        <v/>
      </c>
      <c r="B70">
        <f>Sales!G70</f>
        <v/>
      </c>
      <c r="C70" s="3">
        <f>IFERROR(INDEX(Products!$D$2:$D$10,MATCH(B70,Products!$A$2:$A$10,0)),0)</f>
        <v/>
      </c>
      <c r="D70">
        <f>Sales!D70</f>
        <v/>
      </c>
      <c r="E70" s="3">
        <f>IFERROR(INDEX(Targets!$C$2:$C$9,MATCH(D70,Targets!$B$2:$B$9,0)),0)</f>
        <v/>
      </c>
      <c r="F70" t="inlineStr">
        <is>
          <t>INDEX/MATCH</t>
        </is>
      </c>
      <c r="G70" t="inlineStr">
        <is>
          <t>INDEX/MATCH</t>
        </is>
      </c>
    </row>
    <row r="71">
      <c r="A71">
        <f>Sales!A71</f>
        <v/>
      </c>
      <c r="B71">
        <f>Sales!G71</f>
        <v/>
      </c>
      <c r="C71" s="3">
        <f>IFERROR(INDEX(Products!$D$2:$D$10,MATCH(B71,Products!$A$2:$A$10,0)),0)</f>
        <v/>
      </c>
      <c r="D71">
        <f>Sales!D71</f>
        <v/>
      </c>
      <c r="E71" s="3">
        <f>IFERROR(INDEX(Targets!$C$2:$C$9,MATCH(D71,Targets!$B$2:$B$9,0)),0)</f>
        <v/>
      </c>
      <c r="F71" t="inlineStr">
        <is>
          <t>INDEX/MATCH</t>
        </is>
      </c>
      <c r="G71" t="inlineStr">
        <is>
          <t>INDEX/MATCH</t>
        </is>
      </c>
    </row>
    <row r="72">
      <c r="A72">
        <f>Sales!A72</f>
        <v/>
      </c>
      <c r="B72">
        <f>Sales!G72</f>
        <v/>
      </c>
      <c r="C72" s="3">
        <f>IFERROR(INDEX(Products!$D$2:$D$10,MATCH(B72,Products!$A$2:$A$10,0)),0)</f>
        <v/>
      </c>
      <c r="D72">
        <f>Sales!D72</f>
        <v/>
      </c>
      <c r="E72" s="3">
        <f>IFERROR(INDEX(Targets!$C$2:$C$9,MATCH(D72,Targets!$B$2:$B$9,0)),0)</f>
        <v/>
      </c>
      <c r="F72" t="inlineStr">
        <is>
          <t>INDEX/MATCH</t>
        </is>
      </c>
      <c r="G72" t="inlineStr">
        <is>
          <t>INDEX/MATCH</t>
        </is>
      </c>
    </row>
    <row r="73">
      <c r="A73">
        <f>Sales!A73</f>
        <v/>
      </c>
      <c r="B73">
        <f>Sales!G73</f>
        <v/>
      </c>
      <c r="C73" s="3">
        <f>IFERROR(INDEX(Products!$D$2:$D$10,MATCH(B73,Products!$A$2:$A$10,0)),0)</f>
        <v/>
      </c>
      <c r="D73">
        <f>Sales!D73</f>
        <v/>
      </c>
      <c r="E73" s="3">
        <f>IFERROR(INDEX(Targets!$C$2:$C$9,MATCH(D73,Targets!$B$2:$B$9,0)),0)</f>
        <v/>
      </c>
      <c r="F73" t="inlineStr">
        <is>
          <t>INDEX/MATCH</t>
        </is>
      </c>
      <c r="G73" t="inlineStr">
        <is>
          <t>INDEX/MATCH</t>
        </is>
      </c>
    </row>
    <row r="74">
      <c r="A74">
        <f>Sales!A74</f>
        <v/>
      </c>
      <c r="B74">
        <f>Sales!G74</f>
        <v/>
      </c>
      <c r="C74" s="3">
        <f>IFERROR(INDEX(Products!$D$2:$D$10,MATCH(B74,Products!$A$2:$A$10,0)),0)</f>
        <v/>
      </c>
      <c r="D74">
        <f>Sales!D74</f>
        <v/>
      </c>
      <c r="E74" s="3">
        <f>IFERROR(INDEX(Targets!$C$2:$C$9,MATCH(D74,Targets!$B$2:$B$9,0)),0)</f>
        <v/>
      </c>
      <c r="F74" t="inlineStr">
        <is>
          <t>INDEX/MATCH</t>
        </is>
      </c>
      <c r="G74" t="inlineStr">
        <is>
          <t>INDEX/MATCH</t>
        </is>
      </c>
    </row>
    <row r="75">
      <c r="A75">
        <f>Sales!A75</f>
        <v/>
      </c>
      <c r="B75">
        <f>Sales!G75</f>
        <v/>
      </c>
      <c r="C75" s="3">
        <f>IFERROR(INDEX(Products!$D$2:$D$10,MATCH(B75,Products!$A$2:$A$10,0)),0)</f>
        <v/>
      </c>
      <c r="D75">
        <f>Sales!D75</f>
        <v/>
      </c>
      <c r="E75" s="3">
        <f>IFERROR(INDEX(Targets!$C$2:$C$9,MATCH(D75,Targets!$B$2:$B$9,0)),0)</f>
        <v/>
      </c>
      <c r="F75" t="inlineStr">
        <is>
          <t>INDEX/MATCH</t>
        </is>
      </c>
      <c r="G75" t="inlineStr">
        <is>
          <t>INDEX/MATCH</t>
        </is>
      </c>
    </row>
    <row r="76">
      <c r="A76">
        <f>Sales!A76</f>
        <v/>
      </c>
      <c r="B76">
        <f>Sales!G76</f>
        <v/>
      </c>
      <c r="C76" s="3">
        <f>IFERROR(INDEX(Products!$D$2:$D$10,MATCH(B76,Products!$A$2:$A$10,0)),0)</f>
        <v/>
      </c>
      <c r="D76">
        <f>Sales!D76</f>
        <v/>
      </c>
      <c r="E76" s="3">
        <f>IFERROR(INDEX(Targets!$C$2:$C$9,MATCH(D76,Targets!$B$2:$B$9,0)),0)</f>
        <v/>
      </c>
      <c r="F76" t="inlineStr">
        <is>
          <t>INDEX/MATCH</t>
        </is>
      </c>
      <c r="G76" t="inlineStr">
        <is>
          <t>INDEX/MATCH</t>
        </is>
      </c>
    </row>
    <row r="77">
      <c r="A77">
        <f>Sales!A77</f>
        <v/>
      </c>
      <c r="B77">
        <f>Sales!G77</f>
        <v/>
      </c>
      <c r="C77" s="3">
        <f>IFERROR(INDEX(Products!$D$2:$D$10,MATCH(B77,Products!$A$2:$A$10,0)),0)</f>
        <v/>
      </c>
      <c r="D77">
        <f>Sales!D77</f>
        <v/>
      </c>
      <c r="E77" s="3">
        <f>IFERROR(INDEX(Targets!$C$2:$C$9,MATCH(D77,Targets!$B$2:$B$9,0)),0)</f>
        <v/>
      </c>
      <c r="F77" t="inlineStr">
        <is>
          <t>INDEX/MATCH</t>
        </is>
      </c>
      <c r="G77" t="inlineStr">
        <is>
          <t>INDEX/MATCH</t>
        </is>
      </c>
    </row>
    <row r="78">
      <c r="A78">
        <f>Sales!A78</f>
        <v/>
      </c>
      <c r="B78">
        <f>Sales!G78</f>
        <v/>
      </c>
      <c r="C78" s="3">
        <f>IFERROR(INDEX(Products!$D$2:$D$10,MATCH(B78,Products!$A$2:$A$10,0)),0)</f>
        <v/>
      </c>
      <c r="D78">
        <f>Sales!D78</f>
        <v/>
      </c>
      <c r="E78" s="3">
        <f>IFERROR(INDEX(Targets!$C$2:$C$9,MATCH(D78,Targets!$B$2:$B$9,0)),0)</f>
        <v/>
      </c>
      <c r="F78" t="inlineStr">
        <is>
          <t>INDEX/MATCH</t>
        </is>
      </c>
      <c r="G78" t="inlineStr">
        <is>
          <t>INDEX/MATCH</t>
        </is>
      </c>
    </row>
    <row r="79">
      <c r="A79">
        <f>Sales!A79</f>
        <v/>
      </c>
      <c r="B79">
        <f>Sales!G79</f>
        <v/>
      </c>
      <c r="C79" s="3">
        <f>IFERROR(INDEX(Products!$D$2:$D$10,MATCH(B79,Products!$A$2:$A$10,0)),0)</f>
        <v/>
      </c>
      <c r="D79">
        <f>Sales!D79</f>
        <v/>
      </c>
      <c r="E79" s="3">
        <f>IFERROR(INDEX(Targets!$C$2:$C$9,MATCH(D79,Targets!$B$2:$B$9,0)),0)</f>
        <v/>
      </c>
      <c r="F79" t="inlineStr">
        <is>
          <t>INDEX/MATCH</t>
        </is>
      </c>
      <c r="G79" t="inlineStr">
        <is>
          <t>INDEX/MATCH</t>
        </is>
      </c>
    </row>
    <row r="80">
      <c r="A80">
        <f>Sales!A80</f>
        <v/>
      </c>
      <c r="B80">
        <f>Sales!G80</f>
        <v/>
      </c>
      <c r="C80" s="3">
        <f>IFERROR(INDEX(Products!$D$2:$D$10,MATCH(B80,Products!$A$2:$A$10,0)),0)</f>
        <v/>
      </c>
      <c r="D80">
        <f>Sales!D80</f>
        <v/>
      </c>
      <c r="E80" s="3">
        <f>IFERROR(INDEX(Targets!$C$2:$C$9,MATCH(D80,Targets!$B$2:$B$9,0)),0)</f>
        <v/>
      </c>
      <c r="F80" t="inlineStr">
        <is>
          <t>INDEX/MATCH</t>
        </is>
      </c>
      <c r="G80" t="inlineStr">
        <is>
          <t>INDEX/MATCH</t>
        </is>
      </c>
    </row>
    <row r="81">
      <c r="A81">
        <f>Sales!A81</f>
        <v/>
      </c>
      <c r="B81">
        <f>Sales!G81</f>
        <v/>
      </c>
      <c r="C81" s="3">
        <f>IFERROR(INDEX(Products!$D$2:$D$10,MATCH(B81,Products!$A$2:$A$10,0)),0)</f>
        <v/>
      </c>
      <c r="D81">
        <f>Sales!D81</f>
        <v/>
      </c>
      <c r="E81" s="3">
        <f>IFERROR(INDEX(Targets!$C$2:$C$9,MATCH(D81,Targets!$B$2:$B$9,0)),0)</f>
        <v/>
      </c>
      <c r="F81" t="inlineStr">
        <is>
          <t>INDEX/MATCH</t>
        </is>
      </c>
      <c r="G81" t="inlineStr">
        <is>
          <t>INDEX/MATCH</t>
        </is>
      </c>
    </row>
    <row r="82">
      <c r="A82">
        <f>Sales!A82</f>
        <v/>
      </c>
      <c r="B82">
        <f>Sales!G82</f>
        <v/>
      </c>
      <c r="C82" s="3">
        <f>IFERROR(INDEX(Products!$D$2:$D$10,MATCH(B82,Products!$A$2:$A$10,0)),0)</f>
        <v/>
      </c>
      <c r="D82">
        <f>Sales!D82</f>
        <v/>
      </c>
      <c r="E82" s="3">
        <f>IFERROR(INDEX(Targets!$C$2:$C$9,MATCH(D82,Targets!$B$2:$B$9,0)),0)</f>
        <v/>
      </c>
      <c r="F82" t="inlineStr">
        <is>
          <t>INDEX/MATCH</t>
        </is>
      </c>
      <c r="G82" t="inlineStr">
        <is>
          <t>INDEX/MATCH</t>
        </is>
      </c>
    </row>
    <row r="83">
      <c r="A83">
        <f>Sales!A83</f>
        <v/>
      </c>
      <c r="B83">
        <f>Sales!G83</f>
        <v/>
      </c>
      <c r="C83" s="3">
        <f>IFERROR(INDEX(Products!$D$2:$D$10,MATCH(B83,Products!$A$2:$A$10,0)),0)</f>
        <v/>
      </c>
      <c r="D83">
        <f>Sales!D83</f>
        <v/>
      </c>
      <c r="E83" s="3">
        <f>IFERROR(INDEX(Targets!$C$2:$C$9,MATCH(D83,Targets!$B$2:$B$9,0)),0)</f>
        <v/>
      </c>
      <c r="F83" t="inlineStr">
        <is>
          <t>INDEX/MATCH</t>
        </is>
      </c>
      <c r="G83" t="inlineStr">
        <is>
          <t>INDEX/MATCH</t>
        </is>
      </c>
    </row>
    <row r="84">
      <c r="A84">
        <f>Sales!A84</f>
        <v/>
      </c>
      <c r="B84">
        <f>Sales!G84</f>
        <v/>
      </c>
      <c r="C84" s="3">
        <f>IFERROR(INDEX(Products!$D$2:$D$10,MATCH(B84,Products!$A$2:$A$10,0)),0)</f>
        <v/>
      </c>
      <c r="D84">
        <f>Sales!D84</f>
        <v/>
      </c>
      <c r="E84" s="3">
        <f>IFERROR(INDEX(Targets!$C$2:$C$9,MATCH(D84,Targets!$B$2:$B$9,0)),0)</f>
        <v/>
      </c>
      <c r="F84" t="inlineStr">
        <is>
          <t>INDEX/MATCH</t>
        </is>
      </c>
      <c r="G84" t="inlineStr">
        <is>
          <t>INDEX/MATCH</t>
        </is>
      </c>
    </row>
    <row r="85">
      <c r="A85">
        <f>Sales!A85</f>
        <v/>
      </c>
      <c r="B85">
        <f>Sales!G85</f>
        <v/>
      </c>
      <c r="C85" s="3">
        <f>IFERROR(INDEX(Products!$D$2:$D$10,MATCH(B85,Products!$A$2:$A$10,0)),0)</f>
        <v/>
      </c>
      <c r="D85">
        <f>Sales!D85</f>
        <v/>
      </c>
      <c r="E85" s="3">
        <f>IFERROR(INDEX(Targets!$C$2:$C$9,MATCH(D85,Targets!$B$2:$B$9,0)),0)</f>
        <v/>
      </c>
      <c r="F85" t="inlineStr">
        <is>
          <t>INDEX/MATCH</t>
        </is>
      </c>
      <c r="G85" t="inlineStr">
        <is>
          <t>INDEX/MATCH</t>
        </is>
      </c>
    </row>
    <row r="86">
      <c r="A86">
        <f>Sales!A86</f>
        <v/>
      </c>
      <c r="B86">
        <f>Sales!G86</f>
        <v/>
      </c>
      <c r="C86" s="3">
        <f>IFERROR(INDEX(Products!$D$2:$D$10,MATCH(B86,Products!$A$2:$A$10,0)),0)</f>
        <v/>
      </c>
      <c r="D86">
        <f>Sales!D86</f>
        <v/>
      </c>
      <c r="E86" s="3">
        <f>IFERROR(INDEX(Targets!$C$2:$C$9,MATCH(D86,Targets!$B$2:$B$9,0)),0)</f>
        <v/>
      </c>
      <c r="F86" t="inlineStr">
        <is>
          <t>INDEX/MATCH</t>
        </is>
      </c>
      <c r="G86" t="inlineStr">
        <is>
          <t>INDEX/MATCH</t>
        </is>
      </c>
    </row>
    <row r="87">
      <c r="A87">
        <f>Sales!A87</f>
        <v/>
      </c>
      <c r="B87">
        <f>Sales!G87</f>
        <v/>
      </c>
      <c r="C87" s="3">
        <f>IFERROR(INDEX(Products!$D$2:$D$10,MATCH(B87,Products!$A$2:$A$10,0)),0)</f>
        <v/>
      </c>
      <c r="D87">
        <f>Sales!D87</f>
        <v/>
      </c>
      <c r="E87" s="3">
        <f>IFERROR(INDEX(Targets!$C$2:$C$9,MATCH(D87,Targets!$B$2:$B$9,0)),0)</f>
        <v/>
      </c>
      <c r="F87" t="inlineStr">
        <is>
          <t>INDEX/MATCH</t>
        </is>
      </c>
      <c r="G87" t="inlineStr">
        <is>
          <t>INDEX/MATCH</t>
        </is>
      </c>
    </row>
    <row r="88">
      <c r="A88">
        <f>Sales!A88</f>
        <v/>
      </c>
      <c r="B88">
        <f>Sales!G88</f>
        <v/>
      </c>
      <c r="C88" s="3">
        <f>IFERROR(INDEX(Products!$D$2:$D$10,MATCH(B88,Products!$A$2:$A$10,0)),0)</f>
        <v/>
      </c>
      <c r="D88">
        <f>Sales!D88</f>
        <v/>
      </c>
      <c r="E88" s="3">
        <f>IFERROR(INDEX(Targets!$C$2:$C$9,MATCH(D88,Targets!$B$2:$B$9,0)),0)</f>
        <v/>
      </c>
      <c r="F88" t="inlineStr">
        <is>
          <t>INDEX/MATCH</t>
        </is>
      </c>
      <c r="G88" t="inlineStr">
        <is>
          <t>INDEX/MATCH</t>
        </is>
      </c>
    </row>
    <row r="89">
      <c r="A89">
        <f>Sales!A89</f>
        <v/>
      </c>
      <c r="B89">
        <f>Sales!G89</f>
        <v/>
      </c>
      <c r="C89" s="3">
        <f>IFERROR(INDEX(Products!$D$2:$D$10,MATCH(B89,Products!$A$2:$A$10,0)),0)</f>
        <v/>
      </c>
      <c r="D89">
        <f>Sales!D89</f>
        <v/>
      </c>
      <c r="E89" s="3">
        <f>IFERROR(INDEX(Targets!$C$2:$C$9,MATCH(D89,Targets!$B$2:$B$9,0)),0)</f>
        <v/>
      </c>
      <c r="F89" t="inlineStr">
        <is>
          <t>INDEX/MATCH</t>
        </is>
      </c>
      <c r="G89" t="inlineStr">
        <is>
          <t>INDEX/MATCH</t>
        </is>
      </c>
    </row>
    <row r="90">
      <c r="A90">
        <f>Sales!A90</f>
        <v/>
      </c>
      <c r="B90">
        <f>Sales!G90</f>
        <v/>
      </c>
      <c r="C90" s="3">
        <f>IFERROR(INDEX(Products!$D$2:$D$10,MATCH(B90,Products!$A$2:$A$10,0)),0)</f>
        <v/>
      </c>
      <c r="D90">
        <f>Sales!D90</f>
        <v/>
      </c>
      <c r="E90" s="3">
        <f>IFERROR(INDEX(Targets!$C$2:$C$9,MATCH(D90,Targets!$B$2:$B$9,0)),0)</f>
        <v/>
      </c>
      <c r="F90" t="inlineStr">
        <is>
          <t>INDEX/MATCH</t>
        </is>
      </c>
      <c r="G90" t="inlineStr">
        <is>
          <t>INDEX/MATCH</t>
        </is>
      </c>
    </row>
    <row r="91">
      <c r="A91">
        <f>Sales!A91</f>
        <v/>
      </c>
      <c r="B91">
        <f>Sales!G91</f>
        <v/>
      </c>
      <c r="C91" s="3">
        <f>IFERROR(INDEX(Products!$D$2:$D$10,MATCH(B91,Products!$A$2:$A$10,0)),0)</f>
        <v/>
      </c>
      <c r="D91">
        <f>Sales!D91</f>
        <v/>
      </c>
      <c r="E91" s="3">
        <f>IFERROR(INDEX(Targets!$C$2:$C$9,MATCH(D91,Targets!$B$2:$B$9,0)),0)</f>
        <v/>
      </c>
      <c r="F91" t="inlineStr">
        <is>
          <t>INDEX/MATCH</t>
        </is>
      </c>
      <c r="G91" t="inlineStr">
        <is>
          <t>INDEX/MATCH</t>
        </is>
      </c>
    </row>
    <row r="92">
      <c r="A92">
        <f>Sales!A92</f>
        <v/>
      </c>
      <c r="B92">
        <f>Sales!G92</f>
        <v/>
      </c>
      <c r="C92" s="3">
        <f>IFERROR(INDEX(Products!$D$2:$D$10,MATCH(B92,Products!$A$2:$A$10,0)),0)</f>
        <v/>
      </c>
      <c r="D92">
        <f>Sales!D92</f>
        <v/>
      </c>
      <c r="E92" s="3">
        <f>IFERROR(INDEX(Targets!$C$2:$C$9,MATCH(D92,Targets!$B$2:$B$9,0)),0)</f>
        <v/>
      </c>
      <c r="F92" t="inlineStr">
        <is>
          <t>INDEX/MATCH</t>
        </is>
      </c>
      <c r="G92" t="inlineStr">
        <is>
          <t>INDEX/MATCH</t>
        </is>
      </c>
    </row>
    <row r="93">
      <c r="A93">
        <f>Sales!A93</f>
        <v/>
      </c>
      <c r="B93">
        <f>Sales!G93</f>
        <v/>
      </c>
      <c r="C93" s="3">
        <f>IFERROR(INDEX(Products!$D$2:$D$10,MATCH(B93,Products!$A$2:$A$10,0)),0)</f>
        <v/>
      </c>
      <c r="D93">
        <f>Sales!D93</f>
        <v/>
      </c>
      <c r="E93" s="3">
        <f>IFERROR(INDEX(Targets!$C$2:$C$9,MATCH(D93,Targets!$B$2:$B$9,0)),0)</f>
        <v/>
      </c>
      <c r="F93" t="inlineStr">
        <is>
          <t>INDEX/MATCH</t>
        </is>
      </c>
      <c r="G93" t="inlineStr">
        <is>
          <t>INDEX/MATCH</t>
        </is>
      </c>
    </row>
    <row r="94">
      <c r="A94">
        <f>Sales!A94</f>
        <v/>
      </c>
      <c r="B94">
        <f>Sales!G94</f>
        <v/>
      </c>
      <c r="C94" s="3">
        <f>IFERROR(INDEX(Products!$D$2:$D$10,MATCH(B94,Products!$A$2:$A$10,0)),0)</f>
        <v/>
      </c>
      <c r="D94">
        <f>Sales!D94</f>
        <v/>
      </c>
      <c r="E94" s="3">
        <f>IFERROR(INDEX(Targets!$C$2:$C$9,MATCH(D94,Targets!$B$2:$B$9,0)),0)</f>
        <v/>
      </c>
      <c r="F94" t="inlineStr">
        <is>
          <t>INDEX/MATCH</t>
        </is>
      </c>
      <c r="G94" t="inlineStr">
        <is>
          <t>INDEX/MATCH</t>
        </is>
      </c>
    </row>
    <row r="95">
      <c r="A95">
        <f>Sales!A95</f>
        <v/>
      </c>
      <c r="B95">
        <f>Sales!G95</f>
        <v/>
      </c>
      <c r="C95" s="3">
        <f>IFERROR(INDEX(Products!$D$2:$D$10,MATCH(B95,Products!$A$2:$A$10,0)),0)</f>
        <v/>
      </c>
      <c r="D95">
        <f>Sales!D95</f>
        <v/>
      </c>
      <c r="E95" s="3">
        <f>IFERROR(INDEX(Targets!$C$2:$C$9,MATCH(D95,Targets!$B$2:$B$9,0)),0)</f>
        <v/>
      </c>
      <c r="F95" t="inlineStr">
        <is>
          <t>INDEX/MATCH</t>
        </is>
      </c>
      <c r="G95" t="inlineStr">
        <is>
          <t>INDEX/MATCH</t>
        </is>
      </c>
    </row>
    <row r="96">
      <c r="A96">
        <f>Sales!A96</f>
        <v/>
      </c>
      <c r="B96">
        <f>Sales!G96</f>
        <v/>
      </c>
      <c r="C96" s="3">
        <f>IFERROR(INDEX(Products!$D$2:$D$10,MATCH(B96,Products!$A$2:$A$10,0)),0)</f>
        <v/>
      </c>
      <c r="D96">
        <f>Sales!D96</f>
        <v/>
      </c>
      <c r="E96" s="3">
        <f>IFERROR(INDEX(Targets!$C$2:$C$9,MATCH(D96,Targets!$B$2:$B$9,0)),0)</f>
        <v/>
      </c>
      <c r="F96" t="inlineStr">
        <is>
          <t>INDEX/MATCH</t>
        </is>
      </c>
      <c r="G96" t="inlineStr">
        <is>
          <t>INDEX/MATCH</t>
        </is>
      </c>
    </row>
    <row r="97">
      <c r="A97">
        <f>Sales!A97</f>
        <v/>
      </c>
      <c r="B97">
        <f>Sales!G97</f>
        <v/>
      </c>
      <c r="C97" s="3">
        <f>IFERROR(INDEX(Products!$D$2:$D$10,MATCH(B97,Products!$A$2:$A$10,0)),0)</f>
        <v/>
      </c>
      <c r="D97">
        <f>Sales!D97</f>
        <v/>
      </c>
      <c r="E97" s="3">
        <f>IFERROR(INDEX(Targets!$C$2:$C$9,MATCH(D97,Targets!$B$2:$B$9,0)),0)</f>
        <v/>
      </c>
      <c r="F97" t="inlineStr">
        <is>
          <t>INDEX/MATCH</t>
        </is>
      </c>
      <c r="G97" t="inlineStr">
        <is>
          <t>INDEX/MATCH</t>
        </is>
      </c>
    </row>
    <row r="98">
      <c r="A98">
        <f>Sales!A98</f>
        <v/>
      </c>
      <c r="B98">
        <f>Sales!G98</f>
        <v/>
      </c>
      <c r="C98" s="3">
        <f>IFERROR(INDEX(Products!$D$2:$D$10,MATCH(B98,Products!$A$2:$A$10,0)),0)</f>
        <v/>
      </c>
      <c r="D98">
        <f>Sales!D98</f>
        <v/>
      </c>
      <c r="E98" s="3">
        <f>IFERROR(INDEX(Targets!$C$2:$C$9,MATCH(D98,Targets!$B$2:$B$9,0)),0)</f>
        <v/>
      </c>
      <c r="F98" t="inlineStr">
        <is>
          <t>INDEX/MATCH</t>
        </is>
      </c>
      <c r="G98" t="inlineStr">
        <is>
          <t>INDEX/MATCH</t>
        </is>
      </c>
    </row>
    <row r="99">
      <c r="A99">
        <f>Sales!A99</f>
        <v/>
      </c>
      <c r="B99">
        <f>Sales!G99</f>
        <v/>
      </c>
      <c r="C99" s="3">
        <f>IFERROR(INDEX(Products!$D$2:$D$10,MATCH(B99,Products!$A$2:$A$10,0)),0)</f>
        <v/>
      </c>
      <c r="D99">
        <f>Sales!D99</f>
        <v/>
      </c>
      <c r="E99" s="3">
        <f>IFERROR(INDEX(Targets!$C$2:$C$9,MATCH(D99,Targets!$B$2:$B$9,0)),0)</f>
        <v/>
      </c>
      <c r="F99" t="inlineStr">
        <is>
          <t>INDEX/MATCH</t>
        </is>
      </c>
      <c r="G99" t="inlineStr">
        <is>
          <t>INDEX/MATCH</t>
        </is>
      </c>
    </row>
    <row r="100">
      <c r="A100">
        <f>Sales!A100</f>
        <v/>
      </c>
      <c r="B100">
        <f>Sales!G100</f>
        <v/>
      </c>
      <c r="C100" s="3">
        <f>IFERROR(INDEX(Products!$D$2:$D$10,MATCH(B100,Products!$A$2:$A$10,0)),0)</f>
        <v/>
      </c>
      <c r="D100">
        <f>Sales!D100</f>
        <v/>
      </c>
      <c r="E100" s="3">
        <f>IFERROR(INDEX(Targets!$C$2:$C$9,MATCH(D100,Targets!$B$2:$B$9,0)),0)</f>
        <v/>
      </c>
      <c r="F100" t="inlineStr">
        <is>
          <t>INDEX/MATCH</t>
        </is>
      </c>
      <c r="G100" t="inlineStr">
        <is>
          <t>INDEX/MATCH</t>
        </is>
      </c>
    </row>
    <row r="101">
      <c r="A101">
        <f>Sales!A101</f>
        <v/>
      </c>
      <c r="B101">
        <f>Sales!G101</f>
        <v/>
      </c>
      <c r="C101" s="3">
        <f>IFERROR(INDEX(Products!$D$2:$D$10,MATCH(B101,Products!$A$2:$A$10,0)),0)</f>
        <v/>
      </c>
      <c r="D101">
        <f>Sales!D101</f>
        <v/>
      </c>
      <c r="E101" s="3">
        <f>IFERROR(INDEX(Targets!$C$2:$C$9,MATCH(D101,Targets!$B$2:$B$9,0)),0)</f>
        <v/>
      </c>
      <c r="F101" t="inlineStr">
        <is>
          <t>INDEX/MATCH</t>
        </is>
      </c>
      <c r="G101" t="inlineStr">
        <is>
          <t>INDEX/MATCH</t>
        </is>
      </c>
    </row>
    <row r="102">
      <c r="A102">
        <f>Sales!A102</f>
        <v/>
      </c>
      <c r="B102">
        <f>Sales!G102</f>
        <v/>
      </c>
      <c r="C102" s="3">
        <f>IFERROR(INDEX(Products!$D$2:$D$10,MATCH(B102,Products!$A$2:$A$10,0)),0)</f>
        <v/>
      </c>
      <c r="D102">
        <f>Sales!D102</f>
        <v/>
      </c>
      <c r="E102" s="3">
        <f>IFERROR(INDEX(Targets!$C$2:$C$9,MATCH(D102,Targets!$B$2:$B$9,0)),0)</f>
        <v/>
      </c>
      <c r="F102" t="inlineStr">
        <is>
          <t>INDEX/MATCH</t>
        </is>
      </c>
      <c r="G102" t="inlineStr">
        <is>
          <t>INDEX/MATCH</t>
        </is>
      </c>
    </row>
    <row r="103">
      <c r="A103">
        <f>Sales!A103</f>
        <v/>
      </c>
      <c r="B103">
        <f>Sales!G103</f>
        <v/>
      </c>
      <c r="C103" s="3">
        <f>IFERROR(INDEX(Products!$D$2:$D$10,MATCH(B103,Products!$A$2:$A$10,0)),0)</f>
        <v/>
      </c>
      <c r="D103">
        <f>Sales!D103</f>
        <v/>
      </c>
      <c r="E103" s="3">
        <f>IFERROR(INDEX(Targets!$C$2:$C$9,MATCH(D103,Targets!$B$2:$B$9,0)),0)</f>
        <v/>
      </c>
      <c r="F103" t="inlineStr">
        <is>
          <t>INDEX/MATCH</t>
        </is>
      </c>
      <c r="G103" t="inlineStr">
        <is>
          <t>INDEX/MATCH</t>
        </is>
      </c>
    </row>
    <row r="104">
      <c r="A104">
        <f>Sales!A104</f>
        <v/>
      </c>
      <c r="B104">
        <f>Sales!G104</f>
        <v/>
      </c>
      <c r="C104" s="3">
        <f>IFERROR(INDEX(Products!$D$2:$D$10,MATCH(B104,Products!$A$2:$A$10,0)),0)</f>
        <v/>
      </c>
      <c r="D104">
        <f>Sales!D104</f>
        <v/>
      </c>
      <c r="E104" s="3">
        <f>IFERROR(INDEX(Targets!$C$2:$C$9,MATCH(D104,Targets!$B$2:$B$9,0)),0)</f>
        <v/>
      </c>
      <c r="F104" t="inlineStr">
        <is>
          <t>INDEX/MATCH</t>
        </is>
      </c>
      <c r="G104" t="inlineStr">
        <is>
          <t>INDEX/MATCH</t>
        </is>
      </c>
    </row>
    <row r="105">
      <c r="A105">
        <f>Sales!A105</f>
        <v/>
      </c>
      <c r="B105">
        <f>Sales!G105</f>
        <v/>
      </c>
      <c r="C105" s="3">
        <f>IFERROR(INDEX(Products!$D$2:$D$10,MATCH(B105,Products!$A$2:$A$10,0)),0)</f>
        <v/>
      </c>
      <c r="D105">
        <f>Sales!D105</f>
        <v/>
      </c>
      <c r="E105" s="3">
        <f>IFERROR(INDEX(Targets!$C$2:$C$9,MATCH(D105,Targets!$B$2:$B$9,0)),0)</f>
        <v/>
      </c>
      <c r="F105" t="inlineStr">
        <is>
          <t>INDEX/MATCH</t>
        </is>
      </c>
      <c r="G105" t="inlineStr">
        <is>
          <t>INDEX/MATCH</t>
        </is>
      </c>
    </row>
    <row r="106">
      <c r="A106">
        <f>Sales!A106</f>
        <v/>
      </c>
      <c r="B106">
        <f>Sales!G106</f>
        <v/>
      </c>
      <c r="C106" s="3">
        <f>IFERROR(INDEX(Products!$D$2:$D$10,MATCH(B106,Products!$A$2:$A$10,0)),0)</f>
        <v/>
      </c>
      <c r="D106">
        <f>Sales!D106</f>
        <v/>
      </c>
      <c r="E106" s="3">
        <f>IFERROR(INDEX(Targets!$C$2:$C$9,MATCH(D106,Targets!$B$2:$B$9,0)),0)</f>
        <v/>
      </c>
      <c r="F106" t="inlineStr">
        <is>
          <t>INDEX/MATCH</t>
        </is>
      </c>
      <c r="G106" t="inlineStr">
        <is>
          <t>INDEX/MATCH</t>
        </is>
      </c>
    </row>
    <row r="107">
      <c r="A107">
        <f>Sales!A107</f>
        <v/>
      </c>
      <c r="B107">
        <f>Sales!G107</f>
        <v/>
      </c>
      <c r="C107" s="3">
        <f>IFERROR(INDEX(Products!$D$2:$D$10,MATCH(B107,Products!$A$2:$A$10,0)),0)</f>
        <v/>
      </c>
      <c r="D107">
        <f>Sales!D107</f>
        <v/>
      </c>
      <c r="E107" s="3">
        <f>IFERROR(INDEX(Targets!$C$2:$C$9,MATCH(D107,Targets!$B$2:$B$9,0)),0)</f>
        <v/>
      </c>
      <c r="F107" t="inlineStr">
        <is>
          <t>INDEX/MATCH</t>
        </is>
      </c>
      <c r="G107" t="inlineStr">
        <is>
          <t>INDEX/MATCH</t>
        </is>
      </c>
    </row>
    <row r="108">
      <c r="A108">
        <f>Sales!A108</f>
        <v/>
      </c>
      <c r="B108">
        <f>Sales!G108</f>
        <v/>
      </c>
      <c r="C108" s="3">
        <f>IFERROR(INDEX(Products!$D$2:$D$10,MATCH(B108,Products!$A$2:$A$10,0)),0)</f>
        <v/>
      </c>
      <c r="D108">
        <f>Sales!D108</f>
        <v/>
      </c>
      <c r="E108" s="3">
        <f>IFERROR(INDEX(Targets!$C$2:$C$9,MATCH(D108,Targets!$B$2:$B$9,0)),0)</f>
        <v/>
      </c>
      <c r="F108" t="inlineStr">
        <is>
          <t>INDEX/MATCH</t>
        </is>
      </c>
      <c r="G108" t="inlineStr">
        <is>
          <t>INDEX/MATCH</t>
        </is>
      </c>
    </row>
    <row r="109">
      <c r="A109">
        <f>Sales!A109</f>
        <v/>
      </c>
      <c r="B109">
        <f>Sales!G109</f>
        <v/>
      </c>
      <c r="C109" s="3">
        <f>IFERROR(INDEX(Products!$D$2:$D$10,MATCH(B109,Products!$A$2:$A$10,0)),0)</f>
        <v/>
      </c>
      <c r="D109">
        <f>Sales!D109</f>
        <v/>
      </c>
      <c r="E109" s="3">
        <f>IFERROR(INDEX(Targets!$C$2:$C$9,MATCH(D109,Targets!$B$2:$B$9,0)),0)</f>
        <v/>
      </c>
      <c r="F109" t="inlineStr">
        <is>
          <t>INDEX/MATCH</t>
        </is>
      </c>
      <c r="G109" t="inlineStr">
        <is>
          <t>INDEX/MATCH</t>
        </is>
      </c>
    </row>
    <row r="110">
      <c r="A110">
        <f>Sales!A110</f>
        <v/>
      </c>
      <c r="B110">
        <f>Sales!G110</f>
        <v/>
      </c>
      <c r="C110" s="3">
        <f>IFERROR(INDEX(Products!$D$2:$D$10,MATCH(B110,Products!$A$2:$A$10,0)),0)</f>
        <v/>
      </c>
      <c r="D110">
        <f>Sales!D110</f>
        <v/>
      </c>
      <c r="E110" s="3">
        <f>IFERROR(INDEX(Targets!$C$2:$C$9,MATCH(D110,Targets!$B$2:$B$9,0)),0)</f>
        <v/>
      </c>
      <c r="F110" t="inlineStr">
        <is>
          <t>INDEX/MATCH</t>
        </is>
      </c>
      <c r="G110" t="inlineStr">
        <is>
          <t>INDEX/MATCH</t>
        </is>
      </c>
    </row>
    <row r="111">
      <c r="A111">
        <f>Sales!A111</f>
        <v/>
      </c>
      <c r="B111">
        <f>Sales!G111</f>
        <v/>
      </c>
      <c r="C111" s="3">
        <f>IFERROR(INDEX(Products!$D$2:$D$10,MATCH(B111,Products!$A$2:$A$10,0)),0)</f>
        <v/>
      </c>
      <c r="D111">
        <f>Sales!D111</f>
        <v/>
      </c>
      <c r="E111" s="3">
        <f>IFERROR(INDEX(Targets!$C$2:$C$9,MATCH(D111,Targets!$B$2:$B$9,0)),0)</f>
        <v/>
      </c>
      <c r="F111" t="inlineStr">
        <is>
          <t>INDEX/MATCH</t>
        </is>
      </c>
      <c r="G111" t="inlineStr">
        <is>
          <t>INDEX/MATCH</t>
        </is>
      </c>
    </row>
    <row r="112">
      <c r="A112">
        <f>Sales!A112</f>
        <v/>
      </c>
      <c r="B112">
        <f>Sales!G112</f>
        <v/>
      </c>
      <c r="C112" s="3">
        <f>IFERROR(INDEX(Products!$D$2:$D$10,MATCH(B112,Products!$A$2:$A$10,0)),0)</f>
        <v/>
      </c>
      <c r="D112">
        <f>Sales!D112</f>
        <v/>
      </c>
      <c r="E112" s="3">
        <f>IFERROR(INDEX(Targets!$C$2:$C$9,MATCH(D112,Targets!$B$2:$B$9,0)),0)</f>
        <v/>
      </c>
      <c r="F112" t="inlineStr">
        <is>
          <t>INDEX/MATCH</t>
        </is>
      </c>
      <c r="G112" t="inlineStr">
        <is>
          <t>INDEX/MATCH</t>
        </is>
      </c>
    </row>
    <row r="113">
      <c r="A113">
        <f>Sales!A113</f>
        <v/>
      </c>
      <c r="B113">
        <f>Sales!G113</f>
        <v/>
      </c>
      <c r="C113" s="3">
        <f>IFERROR(INDEX(Products!$D$2:$D$10,MATCH(B113,Products!$A$2:$A$10,0)),0)</f>
        <v/>
      </c>
      <c r="D113">
        <f>Sales!D113</f>
        <v/>
      </c>
      <c r="E113" s="3">
        <f>IFERROR(INDEX(Targets!$C$2:$C$9,MATCH(D113,Targets!$B$2:$B$9,0)),0)</f>
        <v/>
      </c>
      <c r="F113" t="inlineStr">
        <is>
          <t>INDEX/MATCH</t>
        </is>
      </c>
      <c r="G113" t="inlineStr">
        <is>
          <t>INDEX/MATCH</t>
        </is>
      </c>
    </row>
    <row r="114">
      <c r="A114">
        <f>Sales!A114</f>
        <v/>
      </c>
      <c r="B114">
        <f>Sales!G114</f>
        <v/>
      </c>
      <c r="C114" s="3">
        <f>IFERROR(INDEX(Products!$D$2:$D$10,MATCH(B114,Products!$A$2:$A$10,0)),0)</f>
        <v/>
      </c>
      <c r="D114">
        <f>Sales!D114</f>
        <v/>
      </c>
      <c r="E114" s="3">
        <f>IFERROR(INDEX(Targets!$C$2:$C$9,MATCH(D114,Targets!$B$2:$B$9,0)),0)</f>
        <v/>
      </c>
      <c r="F114" t="inlineStr">
        <is>
          <t>INDEX/MATCH</t>
        </is>
      </c>
      <c r="G114" t="inlineStr">
        <is>
          <t>INDEX/MATCH</t>
        </is>
      </c>
    </row>
    <row r="115">
      <c r="A115">
        <f>Sales!A115</f>
        <v/>
      </c>
      <c r="B115">
        <f>Sales!G115</f>
        <v/>
      </c>
      <c r="C115" s="3">
        <f>IFERROR(INDEX(Products!$D$2:$D$10,MATCH(B115,Products!$A$2:$A$10,0)),0)</f>
        <v/>
      </c>
      <c r="D115">
        <f>Sales!D115</f>
        <v/>
      </c>
      <c r="E115" s="3">
        <f>IFERROR(INDEX(Targets!$C$2:$C$9,MATCH(D115,Targets!$B$2:$B$9,0)),0)</f>
        <v/>
      </c>
      <c r="F115" t="inlineStr">
        <is>
          <t>INDEX/MATCH</t>
        </is>
      </c>
      <c r="G115" t="inlineStr">
        <is>
          <t>INDEX/MATCH</t>
        </is>
      </c>
    </row>
    <row r="116">
      <c r="A116">
        <f>Sales!A116</f>
        <v/>
      </c>
      <c r="B116">
        <f>Sales!G116</f>
        <v/>
      </c>
      <c r="C116" s="3">
        <f>IFERROR(INDEX(Products!$D$2:$D$10,MATCH(B116,Products!$A$2:$A$10,0)),0)</f>
        <v/>
      </c>
      <c r="D116">
        <f>Sales!D116</f>
        <v/>
      </c>
      <c r="E116" s="3">
        <f>IFERROR(INDEX(Targets!$C$2:$C$9,MATCH(D116,Targets!$B$2:$B$9,0)),0)</f>
        <v/>
      </c>
      <c r="F116" t="inlineStr">
        <is>
          <t>INDEX/MATCH</t>
        </is>
      </c>
      <c r="G116" t="inlineStr">
        <is>
          <t>INDEX/MATCH</t>
        </is>
      </c>
    </row>
    <row r="117">
      <c r="A117">
        <f>Sales!A117</f>
        <v/>
      </c>
      <c r="B117">
        <f>Sales!G117</f>
        <v/>
      </c>
      <c r="C117" s="3">
        <f>IFERROR(INDEX(Products!$D$2:$D$10,MATCH(B117,Products!$A$2:$A$10,0)),0)</f>
        <v/>
      </c>
      <c r="D117">
        <f>Sales!D117</f>
        <v/>
      </c>
      <c r="E117" s="3">
        <f>IFERROR(INDEX(Targets!$C$2:$C$9,MATCH(D117,Targets!$B$2:$B$9,0)),0)</f>
        <v/>
      </c>
      <c r="F117" t="inlineStr">
        <is>
          <t>INDEX/MATCH</t>
        </is>
      </c>
      <c r="G117" t="inlineStr">
        <is>
          <t>INDEX/MATCH</t>
        </is>
      </c>
    </row>
    <row r="118">
      <c r="A118">
        <f>Sales!A118</f>
        <v/>
      </c>
      <c r="B118">
        <f>Sales!G118</f>
        <v/>
      </c>
      <c r="C118" s="3">
        <f>IFERROR(INDEX(Products!$D$2:$D$10,MATCH(B118,Products!$A$2:$A$10,0)),0)</f>
        <v/>
      </c>
      <c r="D118">
        <f>Sales!D118</f>
        <v/>
      </c>
      <c r="E118" s="3">
        <f>IFERROR(INDEX(Targets!$C$2:$C$9,MATCH(D118,Targets!$B$2:$B$9,0)),0)</f>
        <v/>
      </c>
      <c r="F118" t="inlineStr">
        <is>
          <t>INDEX/MATCH</t>
        </is>
      </c>
      <c r="G118" t="inlineStr">
        <is>
          <t>INDEX/MATCH</t>
        </is>
      </c>
    </row>
    <row r="119">
      <c r="A119">
        <f>Sales!A119</f>
        <v/>
      </c>
      <c r="B119">
        <f>Sales!G119</f>
        <v/>
      </c>
      <c r="C119" s="3">
        <f>IFERROR(INDEX(Products!$D$2:$D$10,MATCH(B119,Products!$A$2:$A$10,0)),0)</f>
        <v/>
      </c>
      <c r="D119">
        <f>Sales!D119</f>
        <v/>
      </c>
      <c r="E119" s="3">
        <f>IFERROR(INDEX(Targets!$C$2:$C$9,MATCH(D119,Targets!$B$2:$B$9,0)),0)</f>
        <v/>
      </c>
      <c r="F119" t="inlineStr">
        <is>
          <t>INDEX/MATCH</t>
        </is>
      </c>
      <c r="G119" t="inlineStr">
        <is>
          <t>INDEX/MATCH</t>
        </is>
      </c>
    </row>
    <row r="120">
      <c r="A120">
        <f>Sales!A120</f>
        <v/>
      </c>
      <c r="B120">
        <f>Sales!G120</f>
        <v/>
      </c>
      <c r="C120" s="3">
        <f>IFERROR(INDEX(Products!$D$2:$D$10,MATCH(B120,Products!$A$2:$A$10,0)),0)</f>
        <v/>
      </c>
      <c r="D120">
        <f>Sales!D120</f>
        <v/>
      </c>
      <c r="E120" s="3">
        <f>IFERROR(INDEX(Targets!$C$2:$C$9,MATCH(D120,Targets!$B$2:$B$9,0)),0)</f>
        <v/>
      </c>
      <c r="F120" t="inlineStr">
        <is>
          <t>INDEX/MATCH</t>
        </is>
      </c>
      <c r="G120" t="inlineStr">
        <is>
          <t>INDEX/MATCH</t>
        </is>
      </c>
    </row>
    <row r="121">
      <c r="A121">
        <f>Sales!A121</f>
        <v/>
      </c>
      <c r="B121">
        <f>Sales!G121</f>
        <v/>
      </c>
      <c r="C121" s="3">
        <f>IFERROR(INDEX(Products!$D$2:$D$10,MATCH(B121,Products!$A$2:$A$10,0)),0)</f>
        <v/>
      </c>
      <c r="D121">
        <f>Sales!D121</f>
        <v/>
      </c>
      <c r="E121" s="3">
        <f>IFERROR(INDEX(Targets!$C$2:$C$9,MATCH(D121,Targets!$B$2:$B$9,0)),0)</f>
        <v/>
      </c>
      <c r="F121" t="inlineStr">
        <is>
          <t>INDEX/MATCH</t>
        </is>
      </c>
      <c r="G121" t="inlineStr">
        <is>
          <t>INDEX/MATCH</t>
        </is>
      </c>
    </row>
  </sheetData>
  <autoFilter ref="A1:G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28" customWidth="1" min="3" max="3"/>
  </cols>
  <sheetData>
    <row r="1">
      <c r="A1" s="5" t="inlineStr">
        <is>
          <t>Date &amp; Time Formula Examples</t>
        </is>
      </c>
    </row>
    <row r="2">
      <c r="A2" s="6" t="inlineStr">
        <is>
          <t>Formula</t>
        </is>
      </c>
      <c r="B2" s="6" t="inlineStr">
        <is>
          <t>Meaning</t>
        </is>
      </c>
      <c r="C2" s="6" t="inlineStr">
        <is>
          <t>Row 2 Result</t>
        </is>
      </c>
    </row>
    <row r="3">
      <c r="A3" t="inlineStr">
        <is>
          <t>=YEAR(Sales!B2)</t>
        </is>
      </c>
      <c r="B3" t="inlineStr">
        <is>
          <t>Returns the order year.</t>
        </is>
      </c>
      <c r="C3">
        <f>YEAR(Sales!B2)</f>
        <v/>
      </c>
    </row>
    <row r="4">
      <c r="A4" t="inlineStr">
        <is>
          <t>=MONTH(Sales!B2)</t>
        </is>
      </c>
      <c r="B4" t="inlineStr">
        <is>
          <t>Returns the order month number.</t>
        </is>
      </c>
      <c r="C4">
        <f>MONTH(Sales!B2)</f>
        <v/>
      </c>
    </row>
    <row r="5">
      <c r="A5" t="inlineStr">
        <is>
          <t>=DAY(Sales!B2)</t>
        </is>
      </c>
      <c r="B5" t="inlineStr">
        <is>
          <t>Returns the day of the month.</t>
        </is>
      </c>
      <c r="C5">
        <f>DAY(Sales!B2)</f>
        <v/>
      </c>
    </row>
    <row r="6">
      <c r="A6" t="inlineStr">
        <is>
          <t>=WEEKNUM(Sales!B2)</t>
        </is>
      </c>
      <c r="B6" t="inlineStr">
        <is>
          <t>Returns the week number.</t>
        </is>
      </c>
      <c r="C6">
        <f>WEEKNUM(Sales!B2)</f>
        <v/>
      </c>
    </row>
    <row r="7">
      <c r="A7" t="inlineStr">
        <is>
          <t>=TEXT(Sales!B2,"mmm")</t>
        </is>
      </c>
      <c r="B7" t="inlineStr">
        <is>
          <t>Displays the abbreviated month.</t>
        </is>
      </c>
      <c r="C7">
        <f>TEXT(Sales!B2,"mmm")</f>
        <v/>
      </c>
    </row>
    <row r="8">
      <c r="A8" t="inlineStr">
        <is>
          <t>=TEXT(Sales!B2,"mmm-yy")</t>
        </is>
      </c>
      <c r="B8" t="inlineStr">
        <is>
          <t>Displays month and year.</t>
        </is>
      </c>
      <c r="C8">
        <f>TEXT(Sales!B2,"mmm-yy")</f>
        <v/>
      </c>
    </row>
    <row r="9">
      <c r="A9" t="inlineStr">
        <is>
          <t>=EOMONTH(Sales!B2,0)</t>
        </is>
      </c>
      <c r="B9" t="inlineStr">
        <is>
          <t>Returns the last day of the order month.</t>
        </is>
      </c>
      <c r="C9">
        <f>EOMONTH(Sales!B2,0)</f>
        <v/>
      </c>
    </row>
    <row r="10">
      <c r="A10" t="inlineStr">
        <is>
          <t>=EDATE(Sales!B2,1)</t>
        </is>
      </c>
      <c r="B10" t="inlineStr">
        <is>
          <t>Returns one month after the order date.</t>
        </is>
      </c>
      <c r="C10">
        <f>EDATE(Sales!B2,1)</f>
        <v/>
      </c>
    </row>
    <row r="11">
      <c r="A11" t="inlineStr">
        <is>
          <t>=WEEKDAY(Sales!B2,2)</t>
        </is>
      </c>
      <c r="B11" t="inlineStr">
        <is>
          <t>Returns Monday as 1 through Sunday as 7.</t>
        </is>
      </c>
      <c r="C11">
        <f>WEEKDAY(Sales!B2,2)</f>
        <v/>
      </c>
    </row>
    <row r="12">
      <c r="A12" t="inlineStr">
        <is>
          <t>=NETWORKDAYS(Sales!B2,TODAY())</t>
        </is>
      </c>
      <c r="B12" t="inlineStr">
        <is>
          <t>Counts weekdays from order date to today.</t>
        </is>
      </c>
      <c r="C12">
        <f>NETWORKDAYS(Sales!B2,TODAY())</f>
        <v/>
      </c>
    </row>
    <row r="13">
      <c r="A13" t="inlineStr">
        <is>
          <t>=DATEDIF(Sales!B2,TODAY(),"m")</t>
        </is>
      </c>
      <c r="B13" t="inlineStr">
        <is>
          <t>Counts complete months from order date to today.</t>
        </is>
      </c>
      <c r="C13">
        <f>DATEDIF(Sales!B2,TODAY(),"m")</f>
        <v/>
      </c>
    </row>
    <row r="14">
      <c r="A14" t="inlineStr">
        <is>
          <t>=TODAY()</t>
        </is>
      </c>
      <c r="B14" t="inlineStr">
        <is>
          <t>Returns today’s date.</t>
        </is>
      </c>
      <c r="C14">
        <f>TODAY()</f>
        <v/>
      </c>
    </row>
    <row r="15">
      <c r="A15" t="inlineStr">
        <is>
          <t>=NOW()</t>
        </is>
      </c>
      <c r="B15" t="inlineStr">
        <is>
          <t>Returns the current date and time.</t>
        </is>
      </c>
      <c r="C15">
        <f>NOW()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8" customWidth="1" min="12" max="12"/>
    <col width="16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WeekNum</t>
        </is>
      </c>
      <c r="G1" s="1" t="inlineStr">
        <is>
          <t>MonthName</t>
        </is>
      </c>
      <c r="H1" s="1" t="inlineStr">
        <is>
          <t>MonthYear</t>
        </is>
      </c>
      <c r="I1" s="1" t="inlineStr">
        <is>
          <t>MonthEnd</t>
        </is>
      </c>
      <c r="J1" s="1" t="inlineStr">
        <is>
          <t>NextMonth</t>
        </is>
      </c>
      <c r="K1" s="1" t="inlineStr">
        <is>
          <t>Weekday</t>
        </is>
      </c>
      <c r="L1" s="1" t="inlineStr">
        <is>
          <t>WorkdaysToToday</t>
        </is>
      </c>
      <c r="M1" s="1" t="inlineStr">
        <is>
          <t>MonthsToToday</t>
        </is>
      </c>
    </row>
    <row r="2">
      <c r="A2">
        <f>Sales!A2</f>
        <v/>
      </c>
      <c r="B2" s="2">
        <f>Sales!B2</f>
        <v/>
      </c>
      <c r="C2">
        <f>YEAR(B2)</f>
        <v/>
      </c>
      <c r="D2">
        <f>MONTH(B2)</f>
        <v/>
      </c>
      <c r="E2">
        <f>DAY(B2)</f>
        <v/>
      </c>
      <c r="F2">
        <f>WEEKNUM(B2)</f>
        <v/>
      </c>
      <c r="G2">
        <f>TEXT(B2,"mmm")</f>
        <v/>
      </c>
      <c r="H2">
        <f>TEXT(B2,"mmm-yy")</f>
        <v/>
      </c>
      <c r="I2" s="2">
        <f>EOMONTH(B2,0)</f>
        <v/>
      </c>
      <c r="J2" s="2">
        <f>EDATE(B2,1)</f>
        <v/>
      </c>
      <c r="K2">
        <f>WEEKDAY(B2,2)</f>
        <v/>
      </c>
      <c r="L2">
        <f>NETWORKDAYS(B2,TODAY())</f>
        <v/>
      </c>
      <c r="M2">
        <f>IFERROR(DATEDIF(B2,TODAY(),"m"),0)</f>
        <v/>
      </c>
    </row>
    <row r="3">
      <c r="A3">
        <f>Sales!A3</f>
        <v/>
      </c>
      <c r="B3" s="2">
        <f>Sales!B3</f>
        <v/>
      </c>
      <c r="C3">
        <f>YEAR(B3)</f>
        <v/>
      </c>
      <c r="D3">
        <f>MONTH(B3)</f>
        <v/>
      </c>
      <c r="E3">
        <f>DAY(B3)</f>
        <v/>
      </c>
      <c r="F3">
        <f>WEEKNUM(B3)</f>
        <v/>
      </c>
      <c r="G3">
        <f>TEXT(B3,"mmm")</f>
        <v/>
      </c>
      <c r="H3">
        <f>TEXT(B3,"mmm-yy")</f>
        <v/>
      </c>
      <c r="I3" s="2">
        <f>EOMONTH(B3,0)</f>
        <v/>
      </c>
      <c r="J3" s="2">
        <f>EDATE(B3,1)</f>
        <v/>
      </c>
      <c r="K3">
        <f>WEEKDAY(B3,2)</f>
        <v/>
      </c>
      <c r="L3">
        <f>NETWORKDAYS(B3,TODAY())</f>
        <v/>
      </c>
      <c r="M3">
        <f>IFERROR(DATEDIF(B3,TODAY(),"m"),0)</f>
        <v/>
      </c>
    </row>
    <row r="4">
      <c r="A4">
        <f>Sales!A4</f>
        <v/>
      </c>
      <c r="B4" s="2">
        <f>Sales!B4</f>
        <v/>
      </c>
      <c r="C4">
        <f>YEAR(B4)</f>
        <v/>
      </c>
      <c r="D4">
        <f>MONTH(B4)</f>
        <v/>
      </c>
      <c r="E4">
        <f>DAY(B4)</f>
        <v/>
      </c>
      <c r="F4">
        <f>WEEKNUM(B4)</f>
        <v/>
      </c>
      <c r="G4">
        <f>TEXT(B4,"mmm")</f>
        <v/>
      </c>
      <c r="H4">
        <f>TEXT(B4,"mmm-yy")</f>
        <v/>
      </c>
      <c r="I4" s="2">
        <f>EOMONTH(B4,0)</f>
        <v/>
      </c>
      <c r="J4" s="2">
        <f>EDATE(B4,1)</f>
        <v/>
      </c>
      <c r="K4">
        <f>WEEKDAY(B4,2)</f>
        <v/>
      </c>
      <c r="L4">
        <f>NETWORKDAYS(B4,TODAY())</f>
        <v/>
      </c>
      <c r="M4">
        <f>IFERROR(DATEDIF(B4,TODAY(),"m"),0)</f>
        <v/>
      </c>
    </row>
    <row r="5">
      <c r="A5">
        <f>Sales!A5</f>
        <v/>
      </c>
      <c r="B5" s="2">
        <f>Sales!B5</f>
        <v/>
      </c>
      <c r="C5">
        <f>YEAR(B5)</f>
        <v/>
      </c>
      <c r="D5">
        <f>MONTH(B5)</f>
        <v/>
      </c>
      <c r="E5">
        <f>DAY(B5)</f>
        <v/>
      </c>
      <c r="F5">
        <f>WEEKNUM(B5)</f>
        <v/>
      </c>
      <c r="G5">
        <f>TEXT(B5,"mmm")</f>
        <v/>
      </c>
      <c r="H5">
        <f>TEXT(B5,"mmm-yy")</f>
        <v/>
      </c>
      <c r="I5" s="2">
        <f>EOMONTH(B5,0)</f>
        <v/>
      </c>
      <c r="J5" s="2">
        <f>EDATE(B5,1)</f>
        <v/>
      </c>
      <c r="K5">
        <f>WEEKDAY(B5,2)</f>
        <v/>
      </c>
      <c r="L5">
        <f>NETWORKDAYS(B5,TODAY())</f>
        <v/>
      </c>
      <c r="M5">
        <f>IFERROR(DATEDIF(B5,TODAY(),"m"),0)</f>
        <v/>
      </c>
    </row>
    <row r="6">
      <c r="A6">
        <f>Sales!A6</f>
        <v/>
      </c>
      <c r="B6" s="2">
        <f>Sales!B6</f>
        <v/>
      </c>
      <c r="C6">
        <f>YEAR(B6)</f>
        <v/>
      </c>
      <c r="D6">
        <f>MONTH(B6)</f>
        <v/>
      </c>
      <c r="E6">
        <f>DAY(B6)</f>
        <v/>
      </c>
      <c r="F6">
        <f>WEEKNUM(B6)</f>
        <v/>
      </c>
      <c r="G6">
        <f>TEXT(B6,"mmm")</f>
        <v/>
      </c>
      <c r="H6">
        <f>TEXT(B6,"mmm-yy")</f>
        <v/>
      </c>
      <c r="I6" s="2">
        <f>EOMONTH(B6,0)</f>
        <v/>
      </c>
      <c r="J6" s="2">
        <f>EDATE(B6,1)</f>
        <v/>
      </c>
      <c r="K6">
        <f>WEEKDAY(B6,2)</f>
        <v/>
      </c>
      <c r="L6">
        <f>NETWORKDAYS(B6,TODAY())</f>
        <v/>
      </c>
      <c r="M6">
        <f>IFERROR(DATEDIF(B6,TODAY(),"m"),0)</f>
        <v/>
      </c>
    </row>
    <row r="7">
      <c r="A7">
        <f>Sales!A7</f>
        <v/>
      </c>
      <c r="B7" s="2">
        <f>Sales!B7</f>
        <v/>
      </c>
      <c r="C7">
        <f>YEAR(B7)</f>
        <v/>
      </c>
      <c r="D7">
        <f>MONTH(B7)</f>
        <v/>
      </c>
      <c r="E7">
        <f>DAY(B7)</f>
        <v/>
      </c>
      <c r="F7">
        <f>WEEKNUM(B7)</f>
        <v/>
      </c>
      <c r="G7">
        <f>TEXT(B7,"mmm")</f>
        <v/>
      </c>
      <c r="H7">
        <f>TEXT(B7,"mmm-yy")</f>
        <v/>
      </c>
      <c r="I7" s="2">
        <f>EOMONTH(B7,0)</f>
        <v/>
      </c>
      <c r="J7" s="2">
        <f>EDATE(B7,1)</f>
        <v/>
      </c>
      <c r="K7">
        <f>WEEKDAY(B7,2)</f>
        <v/>
      </c>
      <c r="L7">
        <f>NETWORKDAYS(B7,TODAY())</f>
        <v/>
      </c>
      <c r="M7">
        <f>IFERROR(DATEDIF(B7,TODAY(),"m"),0)</f>
        <v/>
      </c>
    </row>
    <row r="8">
      <c r="A8">
        <f>Sales!A8</f>
        <v/>
      </c>
      <c r="B8" s="2">
        <f>Sales!B8</f>
        <v/>
      </c>
      <c r="C8">
        <f>YEAR(B8)</f>
        <v/>
      </c>
      <c r="D8">
        <f>MONTH(B8)</f>
        <v/>
      </c>
      <c r="E8">
        <f>DAY(B8)</f>
        <v/>
      </c>
      <c r="F8">
        <f>WEEKNUM(B8)</f>
        <v/>
      </c>
      <c r="G8">
        <f>TEXT(B8,"mmm")</f>
        <v/>
      </c>
      <c r="H8">
        <f>TEXT(B8,"mmm-yy")</f>
        <v/>
      </c>
      <c r="I8" s="2">
        <f>EOMONTH(B8,0)</f>
        <v/>
      </c>
      <c r="J8" s="2">
        <f>EDATE(B8,1)</f>
        <v/>
      </c>
      <c r="K8">
        <f>WEEKDAY(B8,2)</f>
        <v/>
      </c>
      <c r="L8">
        <f>NETWORKDAYS(B8,TODAY())</f>
        <v/>
      </c>
      <c r="M8">
        <f>IFERROR(DATEDIF(B8,TODAY(),"m"),0)</f>
        <v/>
      </c>
    </row>
    <row r="9">
      <c r="A9">
        <f>Sales!A9</f>
        <v/>
      </c>
      <c r="B9" s="2">
        <f>Sales!B9</f>
        <v/>
      </c>
      <c r="C9">
        <f>YEAR(B9)</f>
        <v/>
      </c>
      <c r="D9">
        <f>MONTH(B9)</f>
        <v/>
      </c>
      <c r="E9">
        <f>DAY(B9)</f>
        <v/>
      </c>
      <c r="F9">
        <f>WEEKNUM(B9)</f>
        <v/>
      </c>
      <c r="G9">
        <f>TEXT(B9,"mmm")</f>
        <v/>
      </c>
      <c r="H9">
        <f>TEXT(B9,"mmm-yy")</f>
        <v/>
      </c>
      <c r="I9" s="2">
        <f>EOMONTH(B9,0)</f>
        <v/>
      </c>
      <c r="J9" s="2">
        <f>EDATE(B9,1)</f>
        <v/>
      </c>
      <c r="K9">
        <f>WEEKDAY(B9,2)</f>
        <v/>
      </c>
      <c r="L9">
        <f>NETWORKDAYS(B9,TODAY())</f>
        <v/>
      </c>
      <c r="M9">
        <f>IFERROR(DATEDIF(B9,TODAY(),"m"),0)</f>
        <v/>
      </c>
    </row>
    <row r="10">
      <c r="A10">
        <f>Sales!A10</f>
        <v/>
      </c>
      <c r="B10" s="2">
        <f>Sales!B10</f>
        <v/>
      </c>
      <c r="C10">
        <f>YEAR(B10)</f>
        <v/>
      </c>
      <c r="D10">
        <f>MONTH(B10)</f>
        <v/>
      </c>
      <c r="E10">
        <f>DAY(B10)</f>
        <v/>
      </c>
      <c r="F10">
        <f>WEEKNUM(B10)</f>
        <v/>
      </c>
      <c r="G10">
        <f>TEXT(B10,"mmm")</f>
        <v/>
      </c>
      <c r="H10">
        <f>TEXT(B10,"mmm-yy")</f>
        <v/>
      </c>
      <c r="I10" s="2">
        <f>EOMONTH(B10,0)</f>
        <v/>
      </c>
      <c r="J10" s="2">
        <f>EDATE(B10,1)</f>
        <v/>
      </c>
      <c r="K10">
        <f>WEEKDAY(B10,2)</f>
        <v/>
      </c>
      <c r="L10">
        <f>NETWORKDAYS(B10,TODAY())</f>
        <v/>
      </c>
      <c r="M10">
        <f>IFERROR(DATEDIF(B10,TODAY(),"m"),0)</f>
        <v/>
      </c>
    </row>
    <row r="11">
      <c r="A11">
        <f>Sales!A11</f>
        <v/>
      </c>
      <c r="B11" s="2">
        <f>Sales!B11</f>
        <v/>
      </c>
      <c r="C11">
        <f>YEAR(B11)</f>
        <v/>
      </c>
      <c r="D11">
        <f>MONTH(B11)</f>
        <v/>
      </c>
      <c r="E11">
        <f>DAY(B11)</f>
        <v/>
      </c>
      <c r="F11">
        <f>WEEKNUM(B11)</f>
        <v/>
      </c>
      <c r="G11">
        <f>TEXT(B11,"mmm")</f>
        <v/>
      </c>
      <c r="H11">
        <f>TEXT(B11,"mmm-yy")</f>
        <v/>
      </c>
      <c r="I11" s="2">
        <f>EOMONTH(B11,0)</f>
        <v/>
      </c>
      <c r="J11" s="2">
        <f>EDATE(B11,1)</f>
        <v/>
      </c>
      <c r="K11">
        <f>WEEKDAY(B11,2)</f>
        <v/>
      </c>
      <c r="L11">
        <f>NETWORKDAYS(B11,TODAY())</f>
        <v/>
      </c>
      <c r="M11">
        <f>IFERROR(DATEDIF(B11,TODAY(),"m"),0)</f>
        <v/>
      </c>
    </row>
    <row r="12">
      <c r="A12">
        <f>Sales!A12</f>
        <v/>
      </c>
      <c r="B12" s="2">
        <f>Sales!B12</f>
        <v/>
      </c>
      <c r="C12">
        <f>YEAR(B12)</f>
        <v/>
      </c>
      <c r="D12">
        <f>MONTH(B12)</f>
        <v/>
      </c>
      <c r="E12">
        <f>DAY(B12)</f>
        <v/>
      </c>
      <c r="F12">
        <f>WEEKNUM(B12)</f>
        <v/>
      </c>
      <c r="G12">
        <f>TEXT(B12,"mmm")</f>
        <v/>
      </c>
      <c r="H12">
        <f>TEXT(B12,"mmm-yy")</f>
        <v/>
      </c>
      <c r="I12" s="2">
        <f>EOMONTH(B12,0)</f>
        <v/>
      </c>
      <c r="J12" s="2">
        <f>EDATE(B12,1)</f>
        <v/>
      </c>
      <c r="K12">
        <f>WEEKDAY(B12,2)</f>
        <v/>
      </c>
      <c r="L12">
        <f>NETWORKDAYS(B12,TODAY())</f>
        <v/>
      </c>
      <c r="M12">
        <f>IFERROR(DATEDIF(B12,TODAY(),"m"),0)</f>
        <v/>
      </c>
    </row>
    <row r="13">
      <c r="A13">
        <f>Sales!A13</f>
        <v/>
      </c>
      <c r="B13" s="2">
        <f>Sales!B13</f>
        <v/>
      </c>
      <c r="C13">
        <f>YEAR(B13)</f>
        <v/>
      </c>
      <c r="D13">
        <f>MONTH(B13)</f>
        <v/>
      </c>
      <c r="E13">
        <f>DAY(B13)</f>
        <v/>
      </c>
      <c r="F13">
        <f>WEEKNUM(B13)</f>
        <v/>
      </c>
      <c r="G13">
        <f>TEXT(B13,"mmm")</f>
        <v/>
      </c>
      <c r="H13">
        <f>TEXT(B13,"mmm-yy")</f>
        <v/>
      </c>
      <c r="I13" s="2">
        <f>EOMONTH(B13,0)</f>
        <v/>
      </c>
      <c r="J13" s="2">
        <f>EDATE(B13,1)</f>
        <v/>
      </c>
      <c r="K13">
        <f>WEEKDAY(B13,2)</f>
        <v/>
      </c>
      <c r="L13">
        <f>NETWORKDAYS(B13,TODAY())</f>
        <v/>
      </c>
      <c r="M13">
        <f>IFERROR(DATEDIF(B13,TODAY(),"m"),0)</f>
        <v/>
      </c>
    </row>
    <row r="14">
      <c r="A14">
        <f>Sales!A14</f>
        <v/>
      </c>
      <c r="B14" s="2">
        <f>Sales!B14</f>
        <v/>
      </c>
      <c r="C14">
        <f>YEAR(B14)</f>
        <v/>
      </c>
      <c r="D14">
        <f>MONTH(B14)</f>
        <v/>
      </c>
      <c r="E14">
        <f>DAY(B14)</f>
        <v/>
      </c>
      <c r="F14">
        <f>WEEKNUM(B14)</f>
        <v/>
      </c>
      <c r="G14">
        <f>TEXT(B14,"mmm")</f>
        <v/>
      </c>
      <c r="H14">
        <f>TEXT(B14,"mmm-yy")</f>
        <v/>
      </c>
      <c r="I14" s="2">
        <f>EOMONTH(B14,0)</f>
        <v/>
      </c>
      <c r="J14" s="2">
        <f>EDATE(B14,1)</f>
        <v/>
      </c>
      <c r="K14">
        <f>WEEKDAY(B14,2)</f>
        <v/>
      </c>
      <c r="L14">
        <f>NETWORKDAYS(B14,TODAY())</f>
        <v/>
      </c>
      <c r="M14">
        <f>IFERROR(DATEDIF(B14,TODAY(),"m"),0)</f>
        <v/>
      </c>
    </row>
    <row r="15">
      <c r="A15">
        <f>Sales!A15</f>
        <v/>
      </c>
      <c r="B15" s="2">
        <f>Sales!B15</f>
        <v/>
      </c>
      <c r="C15">
        <f>YEAR(B15)</f>
        <v/>
      </c>
      <c r="D15">
        <f>MONTH(B15)</f>
        <v/>
      </c>
      <c r="E15">
        <f>DAY(B15)</f>
        <v/>
      </c>
      <c r="F15">
        <f>WEEKNUM(B15)</f>
        <v/>
      </c>
      <c r="G15">
        <f>TEXT(B15,"mmm")</f>
        <v/>
      </c>
      <c r="H15">
        <f>TEXT(B15,"mmm-yy")</f>
        <v/>
      </c>
      <c r="I15" s="2">
        <f>EOMONTH(B15,0)</f>
        <v/>
      </c>
      <c r="J15" s="2">
        <f>EDATE(B15,1)</f>
        <v/>
      </c>
      <c r="K15">
        <f>WEEKDAY(B15,2)</f>
        <v/>
      </c>
      <c r="L15">
        <f>NETWORKDAYS(B15,TODAY())</f>
        <v/>
      </c>
      <c r="M15">
        <f>IFERROR(DATEDIF(B15,TODAY(),"m"),0)</f>
        <v/>
      </c>
    </row>
    <row r="16">
      <c r="A16">
        <f>Sales!A16</f>
        <v/>
      </c>
      <c r="B16" s="2">
        <f>Sales!B16</f>
        <v/>
      </c>
      <c r="C16">
        <f>YEAR(B16)</f>
        <v/>
      </c>
      <c r="D16">
        <f>MONTH(B16)</f>
        <v/>
      </c>
      <c r="E16">
        <f>DAY(B16)</f>
        <v/>
      </c>
      <c r="F16">
        <f>WEEKNUM(B16)</f>
        <v/>
      </c>
      <c r="G16">
        <f>TEXT(B16,"mmm")</f>
        <v/>
      </c>
      <c r="H16">
        <f>TEXT(B16,"mmm-yy")</f>
        <v/>
      </c>
      <c r="I16" s="2">
        <f>EOMONTH(B16,0)</f>
        <v/>
      </c>
      <c r="J16" s="2">
        <f>EDATE(B16,1)</f>
        <v/>
      </c>
      <c r="K16">
        <f>WEEKDAY(B16,2)</f>
        <v/>
      </c>
      <c r="L16">
        <f>NETWORKDAYS(B16,TODAY())</f>
        <v/>
      </c>
      <c r="M16">
        <f>IFERROR(DATEDIF(B16,TODAY(),"m"),0)</f>
        <v/>
      </c>
    </row>
    <row r="17">
      <c r="A17">
        <f>Sales!A17</f>
        <v/>
      </c>
      <c r="B17" s="2">
        <f>Sales!B17</f>
        <v/>
      </c>
      <c r="C17">
        <f>YEAR(B17)</f>
        <v/>
      </c>
      <c r="D17">
        <f>MONTH(B17)</f>
        <v/>
      </c>
      <c r="E17">
        <f>DAY(B17)</f>
        <v/>
      </c>
      <c r="F17">
        <f>WEEKNUM(B17)</f>
        <v/>
      </c>
      <c r="G17">
        <f>TEXT(B17,"mmm")</f>
        <v/>
      </c>
      <c r="H17">
        <f>TEXT(B17,"mmm-yy")</f>
        <v/>
      </c>
      <c r="I17" s="2">
        <f>EOMONTH(B17,0)</f>
        <v/>
      </c>
      <c r="J17" s="2">
        <f>EDATE(B17,1)</f>
        <v/>
      </c>
      <c r="K17">
        <f>WEEKDAY(B17,2)</f>
        <v/>
      </c>
      <c r="L17">
        <f>NETWORKDAYS(B17,TODAY())</f>
        <v/>
      </c>
      <c r="M17">
        <f>IFERROR(DATEDIF(B17,TODAY(),"m"),0)</f>
        <v/>
      </c>
    </row>
    <row r="18">
      <c r="A18">
        <f>Sales!A18</f>
        <v/>
      </c>
      <c r="B18" s="2">
        <f>Sales!B18</f>
        <v/>
      </c>
      <c r="C18">
        <f>YEAR(B18)</f>
        <v/>
      </c>
      <c r="D18">
        <f>MONTH(B18)</f>
        <v/>
      </c>
      <c r="E18">
        <f>DAY(B18)</f>
        <v/>
      </c>
      <c r="F18">
        <f>WEEKNUM(B18)</f>
        <v/>
      </c>
      <c r="G18">
        <f>TEXT(B18,"mmm")</f>
        <v/>
      </c>
      <c r="H18">
        <f>TEXT(B18,"mmm-yy")</f>
        <v/>
      </c>
      <c r="I18" s="2">
        <f>EOMONTH(B18,0)</f>
        <v/>
      </c>
      <c r="J18" s="2">
        <f>EDATE(B18,1)</f>
        <v/>
      </c>
      <c r="K18">
        <f>WEEKDAY(B18,2)</f>
        <v/>
      </c>
      <c r="L18">
        <f>NETWORKDAYS(B18,TODAY())</f>
        <v/>
      </c>
      <c r="M18">
        <f>IFERROR(DATEDIF(B18,TODAY(),"m"),0)</f>
        <v/>
      </c>
    </row>
    <row r="19">
      <c r="A19">
        <f>Sales!A19</f>
        <v/>
      </c>
      <c r="B19" s="2">
        <f>Sales!B19</f>
        <v/>
      </c>
      <c r="C19">
        <f>YEAR(B19)</f>
        <v/>
      </c>
      <c r="D19">
        <f>MONTH(B19)</f>
        <v/>
      </c>
      <c r="E19">
        <f>DAY(B19)</f>
        <v/>
      </c>
      <c r="F19">
        <f>WEEKNUM(B19)</f>
        <v/>
      </c>
      <c r="G19">
        <f>TEXT(B19,"mmm")</f>
        <v/>
      </c>
      <c r="H19">
        <f>TEXT(B19,"mmm-yy")</f>
        <v/>
      </c>
      <c r="I19" s="2">
        <f>EOMONTH(B19,0)</f>
        <v/>
      </c>
      <c r="J19" s="2">
        <f>EDATE(B19,1)</f>
        <v/>
      </c>
      <c r="K19">
        <f>WEEKDAY(B19,2)</f>
        <v/>
      </c>
      <c r="L19">
        <f>NETWORKDAYS(B19,TODAY())</f>
        <v/>
      </c>
      <c r="M19">
        <f>IFERROR(DATEDIF(B19,TODAY(),"m"),0)</f>
        <v/>
      </c>
    </row>
    <row r="20">
      <c r="A20">
        <f>Sales!A20</f>
        <v/>
      </c>
      <c r="B20" s="2">
        <f>Sales!B20</f>
        <v/>
      </c>
      <c r="C20">
        <f>YEAR(B20)</f>
        <v/>
      </c>
      <c r="D20">
        <f>MONTH(B20)</f>
        <v/>
      </c>
      <c r="E20">
        <f>DAY(B20)</f>
        <v/>
      </c>
      <c r="F20">
        <f>WEEKNUM(B20)</f>
        <v/>
      </c>
      <c r="G20">
        <f>TEXT(B20,"mmm")</f>
        <v/>
      </c>
      <c r="H20">
        <f>TEXT(B20,"mmm-yy")</f>
        <v/>
      </c>
      <c r="I20" s="2">
        <f>EOMONTH(B20,0)</f>
        <v/>
      </c>
      <c r="J20" s="2">
        <f>EDATE(B20,1)</f>
        <v/>
      </c>
      <c r="K20">
        <f>WEEKDAY(B20,2)</f>
        <v/>
      </c>
      <c r="L20">
        <f>NETWORKDAYS(B20,TODAY())</f>
        <v/>
      </c>
      <c r="M20">
        <f>IFERROR(DATEDIF(B20,TODAY(),"m"),0)</f>
        <v/>
      </c>
    </row>
    <row r="21">
      <c r="A21">
        <f>Sales!A21</f>
        <v/>
      </c>
      <c r="B21" s="2">
        <f>Sales!B21</f>
        <v/>
      </c>
      <c r="C21">
        <f>YEAR(B21)</f>
        <v/>
      </c>
      <c r="D21">
        <f>MONTH(B21)</f>
        <v/>
      </c>
      <c r="E21">
        <f>DAY(B21)</f>
        <v/>
      </c>
      <c r="F21">
        <f>WEEKNUM(B21)</f>
        <v/>
      </c>
      <c r="G21">
        <f>TEXT(B21,"mmm")</f>
        <v/>
      </c>
      <c r="H21">
        <f>TEXT(B21,"mmm-yy")</f>
        <v/>
      </c>
      <c r="I21" s="2">
        <f>EOMONTH(B21,0)</f>
        <v/>
      </c>
      <c r="J21" s="2">
        <f>EDATE(B21,1)</f>
        <v/>
      </c>
      <c r="K21">
        <f>WEEKDAY(B21,2)</f>
        <v/>
      </c>
      <c r="L21">
        <f>NETWORKDAYS(B21,TODAY())</f>
        <v/>
      </c>
      <c r="M21">
        <f>IFERROR(DATEDIF(B21,TODAY(),"m"),0)</f>
        <v/>
      </c>
    </row>
    <row r="22">
      <c r="A22">
        <f>Sales!A22</f>
        <v/>
      </c>
      <c r="B22" s="2">
        <f>Sales!B22</f>
        <v/>
      </c>
      <c r="C22">
        <f>YEAR(B22)</f>
        <v/>
      </c>
      <c r="D22">
        <f>MONTH(B22)</f>
        <v/>
      </c>
      <c r="E22">
        <f>DAY(B22)</f>
        <v/>
      </c>
      <c r="F22">
        <f>WEEKNUM(B22)</f>
        <v/>
      </c>
      <c r="G22">
        <f>TEXT(B22,"mmm")</f>
        <v/>
      </c>
      <c r="H22">
        <f>TEXT(B22,"mmm-yy")</f>
        <v/>
      </c>
      <c r="I22" s="2">
        <f>EOMONTH(B22,0)</f>
        <v/>
      </c>
      <c r="J22" s="2">
        <f>EDATE(B22,1)</f>
        <v/>
      </c>
      <c r="K22">
        <f>WEEKDAY(B22,2)</f>
        <v/>
      </c>
      <c r="L22">
        <f>NETWORKDAYS(B22,TODAY())</f>
        <v/>
      </c>
      <c r="M22">
        <f>IFERROR(DATEDIF(B22,TODAY(),"m"),0)</f>
        <v/>
      </c>
    </row>
    <row r="23">
      <c r="A23">
        <f>Sales!A23</f>
        <v/>
      </c>
      <c r="B23" s="2">
        <f>Sales!B23</f>
        <v/>
      </c>
      <c r="C23">
        <f>YEAR(B23)</f>
        <v/>
      </c>
      <c r="D23">
        <f>MONTH(B23)</f>
        <v/>
      </c>
      <c r="E23">
        <f>DAY(B23)</f>
        <v/>
      </c>
      <c r="F23">
        <f>WEEKNUM(B23)</f>
        <v/>
      </c>
      <c r="G23">
        <f>TEXT(B23,"mmm")</f>
        <v/>
      </c>
      <c r="H23">
        <f>TEXT(B23,"mmm-yy")</f>
        <v/>
      </c>
      <c r="I23" s="2">
        <f>EOMONTH(B23,0)</f>
        <v/>
      </c>
      <c r="J23" s="2">
        <f>EDATE(B23,1)</f>
        <v/>
      </c>
      <c r="K23">
        <f>WEEKDAY(B23,2)</f>
        <v/>
      </c>
      <c r="L23">
        <f>NETWORKDAYS(B23,TODAY())</f>
        <v/>
      </c>
      <c r="M23">
        <f>IFERROR(DATEDIF(B23,TODAY(),"m"),0)</f>
        <v/>
      </c>
    </row>
    <row r="24">
      <c r="A24">
        <f>Sales!A24</f>
        <v/>
      </c>
      <c r="B24" s="2">
        <f>Sales!B24</f>
        <v/>
      </c>
      <c r="C24">
        <f>YEAR(B24)</f>
        <v/>
      </c>
      <c r="D24">
        <f>MONTH(B24)</f>
        <v/>
      </c>
      <c r="E24">
        <f>DAY(B24)</f>
        <v/>
      </c>
      <c r="F24">
        <f>WEEKNUM(B24)</f>
        <v/>
      </c>
      <c r="G24">
        <f>TEXT(B24,"mmm")</f>
        <v/>
      </c>
      <c r="H24">
        <f>TEXT(B24,"mmm-yy")</f>
        <v/>
      </c>
      <c r="I24" s="2">
        <f>EOMONTH(B24,0)</f>
        <v/>
      </c>
      <c r="J24" s="2">
        <f>EDATE(B24,1)</f>
        <v/>
      </c>
      <c r="K24">
        <f>WEEKDAY(B24,2)</f>
        <v/>
      </c>
      <c r="L24">
        <f>NETWORKDAYS(B24,TODAY())</f>
        <v/>
      </c>
      <c r="M24">
        <f>IFERROR(DATEDIF(B24,TODAY(),"m"),0)</f>
        <v/>
      </c>
    </row>
    <row r="25">
      <c r="A25">
        <f>Sales!A25</f>
        <v/>
      </c>
      <c r="B25" s="2">
        <f>Sales!B25</f>
        <v/>
      </c>
      <c r="C25">
        <f>YEAR(B25)</f>
        <v/>
      </c>
      <c r="D25">
        <f>MONTH(B25)</f>
        <v/>
      </c>
      <c r="E25">
        <f>DAY(B25)</f>
        <v/>
      </c>
      <c r="F25">
        <f>WEEKNUM(B25)</f>
        <v/>
      </c>
      <c r="G25">
        <f>TEXT(B25,"mmm")</f>
        <v/>
      </c>
      <c r="H25">
        <f>TEXT(B25,"mmm-yy")</f>
        <v/>
      </c>
      <c r="I25" s="2">
        <f>EOMONTH(B25,0)</f>
        <v/>
      </c>
      <c r="J25" s="2">
        <f>EDATE(B25,1)</f>
        <v/>
      </c>
      <c r="K25">
        <f>WEEKDAY(B25,2)</f>
        <v/>
      </c>
      <c r="L25">
        <f>NETWORKDAYS(B25,TODAY())</f>
        <v/>
      </c>
      <c r="M25">
        <f>IFERROR(DATEDIF(B25,TODAY(),"m"),0)</f>
        <v/>
      </c>
    </row>
    <row r="26">
      <c r="A26">
        <f>Sales!A26</f>
        <v/>
      </c>
      <c r="B26" s="2">
        <f>Sales!B26</f>
        <v/>
      </c>
      <c r="C26">
        <f>YEAR(B26)</f>
        <v/>
      </c>
      <c r="D26">
        <f>MONTH(B26)</f>
        <v/>
      </c>
      <c r="E26">
        <f>DAY(B26)</f>
        <v/>
      </c>
      <c r="F26">
        <f>WEEKNUM(B26)</f>
        <v/>
      </c>
      <c r="G26">
        <f>TEXT(B26,"mmm")</f>
        <v/>
      </c>
      <c r="H26">
        <f>TEXT(B26,"mmm-yy")</f>
        <v/>
      </c>
      <c r="I26" s="2">
        <f>EOMONTH(B26,0)</f>
        <v/>
      </c>
      <c r="J26" s="2">
        <f>EDATE(B26,1)</f>
        <v/>
      </c>
      <c r="K26">
        <f>WEEKDAY(B26,2)</f>
        <v/>
      </c>
      <c r="L26">
        <f>NETWORKDAYS(B26,TODAY())</f>
        <v/>
      </c>
      <c r="M26">
        <f>IFERROR(DATEDIF(B26,TODAY(),"m"),0)</f>
        <v/>
      </c>
    </row>
    <row r="27">
      <c r="A27">
        <f>Sales!A27</f>
        <v/>
      </c>
      <c r="B27" s="2">
        <f>Sales!B27</f>
        <v/>
      </c>
      <c r="C27">
        <f>YEAR(B27)</f>
        <v/>
      </c>
      <c r="D27">
        <f>MONTH(B27)</f>
        <v/>
      </c>
      <c r="E27">
        <f>DAY(B27)</f>
        <v/>
      </c>
      <c r="F27">
        <f>WEEKNUM(B27)</f>
        <v/>
      </c>
      <c r="G27">
        <f>TEXT(B27,"mmm")</f>
        <v/>
      </c>
      <c r="H27">
        <f>TEXT(B27,"mmm-yy")</f>
        <v/>
      </c>
      <c r="I27" s="2">
        <f>EOMONTH(B27,0)</f>
        <v/>
      </c>
      <c r="J27" s="2">
        <f>EDATE(B27,1)</f>
        <v/>
      </c>
      <c r="K27">
        <f>WEEKDAY(B27,2)</f>
        <v/>
      </c>
      <c r="L27">
        <f>NETWORKDAYS(B27,TODAY())</f>
        <v/>
      </c>
      <c r="M27">
        <f>IFERROR(DATEDIF(B27,TODAY(),"m"),0)</f>
        <v/>
      </c>
    </row>
    <row r="28">
      <c r="A28">
        <f>Sales!A28</f>
        <v/>
      </c>
      <c r="B28" s="2">
        <f>Sales!B28</f>
        <v/>
      </c>
      <c r="C28">
        <f>YEAR(B28)</f>
        <v/>
      </c>
      <c r="D28">
        <f>MONTH(B28)</f>
        <v/>
      </c>
      <c r="E28">
        <f>DAY(B28)</f>
        <v/>
      </c>
      <c r="F28">
        <f>WEEKNUM(B28)</f>
        <v/>
      </c>
      <c r="G28">
        <f>TEXT(B28,"mmm")</f>
        <v/>
      </c>
      <c r="H28">
        <f>TEXT(B28,"mmm-yy")</f>
        <v/>
      </c>
      <c r="I28" s="2">
        <f>EOMONTH(B28,0)</f>
        <v/>
      </c>
      <c r="J28" s="2">
        <f>EDATE(B28,1)</f>
        <v/>
      </c>
      <c r="K28">
        <f>WEEKDAY(B28,2)</f>
        <v/>
      </c>
      <c r="L28">
        <f>NETWORKDAYS(B28,TODAY())</f>
        <v/>
      </c>
      <c r="M28">
        <f>IFERROR(DATEDIF(B28,TODAY(),"m"),0)</f>
        <v/>
      </c>
    </row>
    <row r="29">
      <c r="A29">
        <f>Sales!A29</f>
        <v/>
      </c>
      <c r="B29" s="2">
        <f>Sales!B29</f>
        <v/>
      </c>
      <c r="C29">
        <f>YEAR(B29)</f>
        <v/>
      </c>
      <c r="D29">
        <f>MONTH(B29)</f>
        <v/>
      </c>
      <c r="E29">
        <f>DAY(B29)</f>
        <v/>
      </c>
      <c r="F29">
        <f>WEEKNUM(B29)</f>
        <v/>
      </c>
      <c r="G29">
        <f>TEXT(B29,"mmm")</f>
        <v/>
      </c>
      <c r="H29">
        <f>TEXT(B29,"mmm-yy")</f>
        <v/>
      </c>
      <c r="I29" s="2">
        <f>EOMONTH(B29,0)</f>
        <v/>
      </c>
      <c r="J29" s="2">
        <f>EDATE(B29,1)</f>
        <v/>
      </c>
      <c r="K29">
        <f>WEEKDAY(B29,2)</f>
        <v/>
      </c>
      <c r="L29">
        <f>NETWORKDAYS(B29,TODAY())</f>
        <v/>
      </c>
      <c r="M29">
        <f>IFERROR(DATEDIF(B29,TODAY(),"m"),0)</f>
        <v/>
      </c>
    </row>
    <row r="30">
      <c r="A30">
        <f>Sales!A30</f>
        <v/>
      </c>
      <c r="B30" s="2">
        <f>Sales!B30</f>
        <v/>
      </c>
      <c r="C30">
        <f>YEAR(B30)</f>
        <v/>
      </c>
      <c r="D30">
        <f>MONTH(B30)</f>
        <v/>
      </c>
      <c r="E30">
        <f>DAY(B30)</f>
        <v/>
      </c>
      <c r="F30">
        <f>WEEKNUM(B30)</f>
        <v/>
      </c>
      <c r="G30">
        <f>TEXT(B30,"mmm")</f>
        <v/>
      </c>
      <c r="H30">
        <f>TEXT(B30,"mmm-yy")</f>
        <v/>
      </c>
      <c r="I30" s="2">
        <f>EOMONTH(B30,0)</f>
        <v/>
      </c>
      <c r="J30" s="2">
        <f>EDATE(B30,1)</f>
        <v/>
      </c>
      <c r="K30">
        <f>WEEKDAY(B30,2)</f>
        <v/>
      </c>
      <c r="L30">
        <f>NETWORKDAYS(B30,TODAY())</f>
        <v/>
      </c>
      <c r="M30">
        <f>IFERROR(DATEDIF(B30,TODAY(),"m"),0)</f>
        <v/>
      </c>
    </row>
    <row r="31">
      <c r="A31">
        <f>Sales!A31</f>
        <v/>
      </c>
      <c r="B31" s="2">
        <f>Sales!B31</f>
        <v/>
      </c>
      <c r="C31">
        <f>YEAR(B31)</f>
        <v/>
      </c>
      <c r="D31">
        <f>MONTH(B31)</f>
        <v/>
      </c>
      <c r="E31">
        <f>DAY(B31)</f>
        <v/>
      </c>
      <c r="F31">
        <f>WEEKNUM(B31)</f>
        <v/>
      </c>
      <c r="G31">
        <f>TEXT(B31,"mmm")</f>
        <v/>
      </c>
      <c r="H31">
        <f>TEXT(B31,"mmm-yy")</f>
        <v/>
      </c>
      <c r="I31" s="2">
        <f>EOMONTH(B31,0)</f>
        <v/>
      </c>
      <c r="J31" s="2">
        <f>EDATE(B31,1)</f>
        <v/>
      </c>
      <c r="K31">
        <f>WEEKDAY(B31,2)</f>
        <v/>
      </c>
      <c r="L31">
        <f>NETWORKDAYS(B31,TODAY())</f>
        <v/>
      </c>
      <c r="M31">
        <f>IFERROR(DATEDIF(B31,TODAY(),"m"),0)</f>
        <v/>
      </c>
    </row>
    <row r="32">
      <c r="A32">
        <f>Sales!A32</f>
        <v/>
      </c>
      <c r="B32" s="2">
        <f>Sales!B32</f>
        <v/>
      </c>
      <c r="C32">
        <f>YEAR(B32)</f>
        <v/>
      </c>
      <c r="D32">
        <f>MONTH(B32)</f>
        <v/>
      </c>
      <c r="E32">
        <f>DAY(B32)</f>
        <v/>
      </c>
      <c r="F32">
        <f>WEEKNUM(B32)</f>
        <v/>
      </c>
      <c r="G32">
        <f>TEXT(B32,"mmm")</f>
        <v/>
      </c>
      <c r="H32">
        <f>TEXT(B32,"mmm-yy")</f>
        <v/>
      </c>
      <c r="I32" s="2">
        <f>EOMONTH(B32,0)</f>
        <v/>
      </c>
      <c r="J32" s="2">
        <f>EDATE(B32,1)</f>
        <v/>
      </c>
      <c r="K32">
        <f>WEEKDAY(B32,2)</f>
        <v/>
      </c>
      <c r="L32">
        <f>NETWORKDAYS(B32,TODAY())</f>
        <v/>
      </c>
      <c r="M32">
        <f>IFERROR(DATEDIF(B32,TODAY(),"m"),0)</f>
        <v/>
      </c>
    </row>
    <row r="33">
      <c r="A33">
        <f>Sales!A33</f>
        <v/>
      </c>
      <c r="B33" s="2">
        <f>Sales!B33</f>
        <v/>
      </c>
      <c r="C33">
        <f>YEAR(B33)</f>
        <v/>
      </c>
      <c r="D33">
        <f>MONTH(B33)</f>
        <v/>
      </c>
      <c r="E33">
        <f>DAY(B33)</f>
        <v/>
      </c>
      <c r="F33">
        <f>WEEKNUM(B33)</f>
        <v/>
      </c>
      <c r="G33">
        <f>TEXT(B33,"mmm")</f>
        <v/>
      </c>
      <c r="H33">
        <f>TEXT(B33,"mmm-yy")</f>
        <v/>
      </c>
      <c r="I33" s="2">
        <f>EOMONTH(B33,0)</f>
        <v/>
      </c>
      <c r="J33" s="2">
        <f>EDATE(B33,1)</f>
        <v/>
      </c>
      <c r="K33">
        <f>WEEKDAY(B33,2)</f>
        <v/>
      </c>
      <c r="L33">
        <f>NETWORKDAYS(B33,TODAY())</f>
        <v/>
      </c>
      <c r="M33">
        <f>IFERROR(DATEDIF(B33,TODAY(),"m"),0)</f>
        <v/>
      </c>
    </row>
    <row r="34">
      <c r="A34">
        <f>Sales!A34</f>
        <v/>
      </c>
      <c r="B34" s="2">
        <f>Sales!B34</f>
        <v/>
      </c>
      <c r="C34">
        <f>YEAR(B34)</f>
        <v/>
      </c>
      <c r="D34">
        <f>MONTH(B34)</f>
        <v/>
      </c>
      <c r="E34">
        <f>DAY(B34)</f>
        <v/>
      </c>
      <c r="F34">
        <f>WEEKNUM(B34)</f>
        <v/>
      </c>
      <c r="G34">
        <f>TEXT(B34,"mmm")</f>
        <v/>
      </c>
      <c r="H34">
        <f>TEXT(B34,"mmm-yy")</f>
        <v/>
      </c>
      <c r="I34" s="2">
        <f>EOMONTH(B34,0)</f>
        <v/>
      </c>
      <c r="J34" s="2">
        <f>EDATE(B34,1)</f>
        <v/>
      </c>
      <c r="K34">
        <f>WEEKDAY(B34,2)</f>
        <v/>
      </c>
      <c r="L34">
        <f>NETWORKDAYS(B34,TODAY())</f>
        <v/>
      </c>
      <c r="M34">
        <f>IFERROR(DATEDIF(B34,TODAY(),"m"),0)</f>
        <v/>
      </c>
    </row>
    <row r="35">
      <c r="A35">
        <f>Sales!A35</f>
        <v/>
      </c>
      <c r="B35" s="2">
        <f>Sales!B35</f>
        <v/>
      </c>
      <c r="C35">
        <f>YEAR(B35)</f>
        <v/>
      </c>
      <c r="D35">
        <f>MONTH(B35)</f>
        <v/>
      </c>
      <c r="E35">
        <f>DAY(B35)</f>
        <v/>
      </c>
      <c r="F35">
        <f>WEEKNUM(B35)</f>
        <v/>
      </c>
      <c r="G35">
        <f>TEXT(B35,"mmm")</f>
        <v/>
      </c>
      <c r="H35">
        <f>TEXT(B35,"mmm-yy")</f>
        <v/>
      </c>
      <c r="I35" s="2">
        <f>EOMONTH(B35,0)</f>
        <v/>
      </c>
      <c r="J35" s="2">
        <f>EDATE(B35,1)</f>
        <v/>
      </c>
      <c r="K35">
        <f>WEEKDAY(B35,2)</f>
        <v/>
      </c>
      <c r="L35">
        <f>NETWORKDAYS(B35,TODAY())</f>
        <v/>
      </c>
      <c r="M35">
        <f>IFERROR(DATEDIF(B35,TODAY(),"m"),0)</f>
        <v/>
      </c>
    </row>
    <row r="36">
      <c r="A36">
        <f>Sales!A36</f>
        <v/>
      </c>
      <c r="B36" s="2">
        <f>Sales!B36</f>
        <v/>
      </c>
      <c r="C36">
        <f>YEAR(B36)</f>
        <v/>
      </c>
      <c r="D36">
        <f>MONTH(B36)</f>
        <v/>
      </c>
      <c r="E36">
        <f>DAY(B36)</f>
        <v/>
      </c>
      <c r="F36">
        <f>WEEKNUM(B36)</f>
        <v/>
      </c>
      <c r="G36">
        <f>TEXT(B36,"mmm")</f>
        <v/>
      </c>
      <c r="H36">
        <f>TEXT(B36,"mmm-yy")</f>
        <v/>
      </c>
      <c r="I36" s="2">
        <f>EOMONTH(B36,0)</f>
        <v/>
      </c>
      <c r="J36" s="2">
        <f>EDATE(B36,1)</f>
        <v/>
      </c>
      <c r="K36">
        <f>WEEKDAY(B36,2)</f>
        <v/>
      </c>
      <c r="L36">
        <f>NETWORKDAYS(B36,TODAY())</f>
        <v/>
      </c>
      <c r="M36">
        <f>IFERROR(DATEDIF(B36,TODAY(),"m"),0)</f>
        <v/>
      </c>
    </row>
    <row r="37">
      <c r="A37">
        <f>Sales!A37</f>
        <v/>
      </c>
      <c r="B37" s="2">
        <f>Sales!B37</f>
        <v/>
      </c>
      <c r="C37">
        <f>YEAR(B37)</f>
        <v/>
      </c>
      <c r="D37">
        <f>MONTH(B37)</f>
        <v/>
      </c>
      <c r="E37">
        <f>DAY(B37)</f>
        <v/>
      </c>
      <c r="F37">
        <f>WEEKNUM(B37)</f>
        <v/>
      </c>
      <c r="G37">
        <f>TEXT(B37,"mmm")</f>
        <v/>
      </c>
      <c r="H37">
        <f>TEXT(B37,"mmm-yy")</f>
        <v/>
      </c>
      <c r="I37" s="2">
        <f>EOMONTH(B37,0)</f>
        <v/>
      </c>
      <c r="J37" s="2">
        <f>EDATE(B37,1)</f>
        <v/>
      </c>
      <c r="K37">
        <f>WEEKDAY(B37,2)</f>
        <v/>
      </c>
      <c r="L37">
        <f>NETWORKDAYS(B37,TODAY())</f>
        <v/>
      </c>
      <c r="M37">
        <f>IFERROR(DATEDIF(B37,TODAY(),"m"),0)</f>
        <v/>
      </c>
    </row>
    <row r="38">
      <c r="A38">
        <f>Sales!A38</f>
        <v/>
      </c>
      <c r="B38" s="2">
        <f>Sales!B38</f>
        <v/>
      </c>
      <c r="C38">
        <f>YEAR(B38)</f>
        <v/>
      </c>
      <c r="D38">
        <f>MONTH(B38)</f>
        <v/>
      </c>
      <c r="E38">
        <f>DAY(B38)</f>
        <v/>
      </c>
      <c r="F38">
        <f>WEEKNUM(B38)</f>
        <v/>
      </c>
      <c r="G38">
        <f>TEXT(B38,"mmm")</f>
        <v/>
      </c>
      <c r="H38">
        <f>TEXT(B38,"mmm-yy")</f>
        <v/>
      </c>
      <c r="I38" s="2">
        <f>EOMONTH(B38,0)</f>
        <v/>
      </c>
      <c r="J38" s="2">
        <f>EDATE(B38,1)</f>
        <v/>
      </c>
      <c r="K38">
        <f>WEEKDAY(B38,2)</f>
        <v/>
      </c>
      <c r="L38">
        <f>NETWORKDAYS(B38,TODAY())</f>
        <v/>
      </c>
      <c r="M38">
        <f>IFERROR(DATEDIF(B38,TODAY(),"m"),0)</f>
        <v/>
      </c>
    </row>
    <row r="39">
      <c r="A39">
        <f>Sales!A39</f>
        <v/>
      </c>
      <c r="B39" s="2">
        <f>Sales!B39</f>
        <v/>
      </c>
      <c r="C39">
        <f>YEAR(B39)</f>
        <v/>
      </c>
      <c r="D39">
        <f>MONTH(B39)</f>
        <v/>
      </c>
      <c r="E39">
        <f>DAY(B39)</f>
        <v/>
      </c>
      <c r="F39">
        <f>WEEKNUM(B39)</f>
        <v/>
      </c>
      <c r="G39">
        <f>TEXT(B39,"mmm")</f>
        <v/>
      </c>
      <c r="H39">
        <f>TEXT(B39,"mmm-yy")</f>
        <v/>
      </c>
      <c r="I39" s="2">
        <f>EOMONTH(B39,0)</f>
        <v/>
      </c>
      <c r="J39" s="2">
        <f>EDATE(B39,1)</f>
        <v/>
      </c>
      <c r="K39">
        <f>WEEKDAY(B39,2)</f>
        <v/>
      </c>
      <c r="L39">
        <f>NETWORKDAYS(B39,TODAY())</f>
        <v/>
      </c>
      <c r="M39">
        <f>IFERROR(DATEDIF(B39,TODAY(),"m"),0)</f>
        <v/>
      </c>
    </row>
    <row r="40">
      <c r="A40">
        <f>Sales!A40</f>
        <v/>
      </c>
      <c r="B40" s="2">
        <f>Sales!B40</f>
        <v/>
      </c>
      <c r="C40">
        <f>YEAR(B40)</f>
        <v/>
      </c>
      <c r="D40">
        <f>MONTH(B40)</f>
        <v/>
      </c>
      <c r="E40">
        <f>DAY(B40)</f>
        <v/>
      </c>
      <c r="F40">
        <f>WEEKNUM(B40)</f>
        <v/>
      </c>
      <c r="G40">
        <f>TEXT(B40,"mmm")</f>
        <v/>
      </c>
      <c r="H40">
        <f>TEXT(B40,"mmm-yy")</f>
        <v/>
      </c>
      <c r="I40" s="2">
        <f>EOMONTH(B40,0)</f>
        <v/>
      </c>
      <c r="J40" s="2">
        <f>EDATE(B40,1)</f>
        <v/>
      </c>
      <c r="K40">
        <f>WEEKDAY(B40,2)</f>
        <v/>
      </c>
      <c r="L40">
        <f>NETWORKDAYS(B40,TODAY())</f>
        <v/>
      </c>
      <c r="M40">
        <f>IFERROR(DATEDIF(B40,TODAY(),"m"),0)</f>
        <v/>
      </c>
    </row>
    <row r="41">
      <c r="A41">
        <f>Sales!A41</f>
        <v/>
      </c>
      <c r="B41" s="2">
        <f>Sales!B41</f>
        <v/>
      </c>
      <c r="C41">
        <f>YEAR(B41)</f>
        <v/>
      </c>
      <c r="D41">
        <f>MONTH(B41)</f>
        <v/>
      </c>
      <c r="E41">
        <f>DAY(B41)</f>
        <v/>
      </c>
      <c r="F41">
        <f>WEEKNUM(B41)</f>
        <v/>
      </c>
      <c r="G41">
        <f>TEXT(B41,"mmm")</f>
        <v/>
      </c>
      <c r="H41">
        <f>TEXT(B41,"mmm-yy")</f>
        <v/>
      </c>
      <c r="I41" s="2">
        <f>EOMONTH(B41,0)</f>
        <v/>
      </c>
      <c r="J41" s="2">
        <f>EDATE(B41,1)</f>
        <v/>
      </c>
      <c r="K41">
        <f>WEEKDAY(B41,2)</f>
        <v/>
      </c>
      <c r="L41">
        <f>NETWORKDAYS(B41,TODAY())</f>
        <v/>
      </c>
      <c r="M41">
        <f>IFERROR(DATEDIF(B41,TODAY(),"m"),0)</f>
        <v/>
      </c>
    </row>
    <row r="42">
      <c r="A42">
        <f>Sales!A42</f>
        <v/>
      </c>
      <c r="B42" s="2">
        <f>Sales!B42</f>
        <v/>
      </c>
      <c r="C42">
        <f>YEAR(B42)</f>
        <v/>
      </c>
      <c r="D42">
        <f>MONTH(B42)</f>
        <v/>
      </c>
      <c r="E42">
        <f>DAY(B42)</f>
        <v/>
      </c>
      <c r="F42">
        <f>WEEKNUM(B42)</f>
        <v/>
      </c>
      <c r="G42">
        <f>TEXT(B42,"mmm")</f>
        <v/>
      </c>
      <c r="H42">
        <f>TEXT(B42,"mmm-yy")</f>
        <v/>
      </c>
      <c r="I42" s="2">
        <f>EOMONTH(B42,0)</f>
        <v/>
      </c>
      <c r="J42" s="2">
        <f>EDATE(B42,1)</f>
        <v/>
      </c>
      <c r="K42">
        <f>WEEKDAY(B42,2)</f>
        <v/>
      </c>
      <c r="L42">
        <f>NETWORKDAYS(B42,TODAY())</f>
        <v/>
      </c>
      <c r="M42">
        <f>IFERROR(DATEDIF(B42,TODAY(),"m"),0)</f>
        <v/>
      </c>
    </row>
    <row r="43">
      <c r="A43">
        <f>Sales!A43</f>
        <v/>
      </c>
      <c r="B43" s="2">
        <f>Sales!B43</f>
        <v/>
      </c>
      <c r="C43">
        <f>YEAR(B43)</f>
        <v/>
      </c>
      <c r="D43">
        <f>MONTH(B43)</f>
        <v/>
      </c>
      <c r="E43">
        <f>DAY(B43)</f>
        <v/>
      </c>
      <c r="F43">
        <f>WEEKNUM(B43)</f>
        <v/>
      </c>
      <c r="G43">
        <f>TEXT(B43,"mmm")</f>
        <v/>
      </c>
      <c r="H43">
        <f>TEXT(B43,"mmm-yy")</f>
        <v/>
      </c>
      <c r="I43" s="2">
        <f>EOMONTH(B43,0)</f>
        <v/>
      </c>
      <c r="J43" s="2">
        <f>EDATE(B43,1)</f>
        <v/>
      </c>
      <c r="K43">
        <f>WEEKDAY(B43,2)</f>
        <v/>
      </c>
      <c r="L43">
        <f>NETWORKDAYS(B43,TODAY())</f>
        <v/>
      </c>
      <c r="M43">
        <f>IFERROR(DATEDIF(B43,TODAY(),"m"),0)</f>
        <v/>
      </c>
    </row>
    <row r="44">
      <c r="A44">
        <f>Sales!A44</f>
        <v/>
      </c>
      <c r="B44" s="2">
        <f>Sales!B44</f>
        <v/>
      </c>
      <c r="C44">
        <f>YEAR(B44)</f>
        <v/>
      </c>
      <c r="D44">
        <f>MONTH(B44)</f>
        <v/>
      </c>
      <c r="E44">
        <f>DAY(B44)</f>
        <v/>
      </c>
      <c r="F44">
        <f>WEEKNUM(B44)</f>
        <v/>
      </c>
      <c r="G44">
        <f>TEXT(B44,"mmm")</f>
        <v/>
      </c>
      <c r="H44">
        <f>TEXT(B44,"mmm-yy")</f>
        <v/>
      </c>
      <c r="I44" s="2">
        <f>EOMONTH(B44,0)</f>
        <v/>
      </c>
      <c r="J44" s="2">
        <f>EDATE(B44,1)</f>
        <v/>
      </c>
      <c r="K44">
        <f>WEEKDAY(B44,2)</f>
        <v/>
      </c>
      <c r="L44">
        <f>NETWORKDAYS(B44,TODAY())</f>
        <v/>
      </c>
      <c r="M44">
        <f>IFERROR(DATEDIF(B44,TODAY(),"m"),0)</f>
        <v/>
      </c>
    </row>
    <row r="45">
      <c r="A45">
        <f>Sales!A45</f>
        <v/>
      </c>
      <c r="B45" s="2">
        <f>Sales!B45</f>
        <v/>
      </c>
      <c r="C45">
        <f>YEAR(B45)</f>
        <v/>
      </c>
      <c r="D45">
        <f>MONTH(B45)</f>
        <v/>
      </c>
      <c r="E45">
        <f>DAY(B45)</f>
        <v/>
      </c>
      <c r="F45">
        <f>WEEKNUM(B45)</f>
        <v/>
      </c>
      <c r="G45">
        <f>TEXT(B45,"mmm")</f>
        <v/>
      </c>
      <c r="H45">
        <f>TEXT(B45,"mmm-yy")</f>
        <v/>
      </c>
      <c r="I45" s="2">
        <f>EOMONTH(B45,0)</f>
        <v/>
      </c>
      <c r="J45" s="2">
        <f>EDATE(B45,1)</f>
        <v/>
      </c>
      <c r="K45">
        <f>WEEKDAY(B45,2)</f>
        <v/>
      </c>
      <c r="L45">
        <f>NETWORKDAYS(B45,TODAY())</f>
        <v/>
      </c>
      <c r="M45">
        <f>IFERROR(DATEDIF(B45,TODAY(),"m"),0)</f>
        <v/>
      </c>
    </row>
    <row r="46">
      <c r="A46">
        <f>Sales!A46</f>
        <v/>
      </c>
      <c r="B46" s="2">
        <f>Sales!B46</f>
        <v/>
      </c>
      <c r="C46">
        <f>YEAR(B46)</f>
        <v/>
      </c>
      <c r="D46">
        <f>MONTH(B46)</f>
        <v/>
      </c>
      <c r="E46">
        <f>DAY(B46)</f>
        <v/>
      </c>
      <c r="F46">
        <f>WEEKNUM(B46)</f>
        <v/>
      </c>
      <c r="G46">
        <f>TEXT(B46,"mmm")</f>
        <v/>
      </c>
      <c r="H46">
        <f>TEXT(B46,"mmm-yy")</f>
        <v/>
      </c>
      <c r="I46" s="2">
        <f>EOMONTH(B46,0)</f>
        <v/>
      </c>
      <c r="J46" s="2">
        <f>EDATE(B46,1)</f>
        <v/>
      </c>
      <c r="K46">
        <f>WEEKDAY(B46,2)</f>
        <v/>
      </c>
      <c r="L46">
        <f>NETWORKDAYS(B46,TODAY())</f>
        <v/>
      </c>
      <c r="M46">
        <f>IFERROR(DATEDIF(B46,TODAY(),"m"),0)</f>
        <v/>
      </c>
    </row>
    <row r="47">
      <c r="A47">
        <f>Sales!A47</f>
        <v/>
      </c>
      <c r="B47" s="2">
        <f>Sales!B47</f>
        <v/>
      </c>
      <c r="C47">
        <f>YEAR(B47)</f>
        <v/>
      </c>
      <c r="D47">
        <f>MONTH(B47)</f>
        <v/>
      </c>
      <c r="E47">
        <f>DAY(B47)</f>
        <v/>
      </c>
      <c r="F47">
        <f>WEEKNUM(B47)</f>
        <v/>
      </c>
      <c r="G47">
        <f>TEXT(B47,"mmm")</f>
        <v/>
      </c>
      <c r="H47">
        <f>TEXT(B47,"mmm-yy")</f>
        <v/>
      </c>
      <c r="I47" s="2">
        <f>EOMONTH(B47,0)</f>
        <v/>
      </c>
      <c r="J47" s="2">
        <f>EDATE(B47,1)</f>
        <v/>
      </c>
      <c r="K47">
        <f>WEEKDAY(B47,2)</f>
        <v/>
      </c>
      <c r="L47">
        <f>NETWORKDAYS(B47,TODAY())</f>
        <v/>
      </c>
      <c r="M47">
        <f>IFERROR(DATEDIF(B47,TODAY(),"m"),0)</f>
        <v/>
      </c>
    </row>
    <row r="48">
      <c r="A48">
        <f>Sales!A48</f>
        <v/>
      </c>
      <c r="B48" s="2">
        <f>Sales!B48</f>
        <v/>
      </c>
      <c r="C48">
        <f>YEAR(B48)</f>
        <v/>
      </c>
      <c r="D48">
        <f>MONTH(B48)</f>
        <v/>
      </c>
      <c r="E48">
        <f>DAY(B48)</f>
        <v/>
      </c>
      <c r="F48">
        <f>WEEKNUM(B48)</f>
        <v/>
      </c>
      <c r="G48">
        <f>TEXT(B48,"mmm")</f>
        <v/>
      </c>
      <c r="H48">
        <f>TEXT(B48,"mmm-yy")</f>
        <v/>
      </c>
      <c r="I48" s="2">
        <f>EOMONTH(B48,0)</f>
        <v/>
      </c>
      <c r="J48" s="2">
        <f>EDATE(B48,1)</f>
        <v/>
      </c>
      <c r="K48">
        <f>WEEKDAY(B48,2)</f>
        <v/>
      </c>
      <c r="L48">
        <f>NETWORKDAYS(B48,TODAY())</f>
        <v/>
      </c>
      <c r="M48">
        <f>IFERROR(DATEDIF(B48,TODAY(),"m"),0)</f>
        <v/>
      </c>
    </row>
    <row r="49">
      <c r="A49">
        <f>Sales!A49</f>
        <v/>
      </c>
      <c r="B49" s="2">
        <f>Sales!B49</f>
        <v/>
      </c>
      <c r="C49">
        <f>YEAR(B49)</f>
        <v/>
      </c>
      <c r="D49">
        <f>MONTH(B49)</f>
        <v/>
      </c>
      <c r="E49">
        <f>DAY(B49)</f>
        <v/>
      </c>
      <c r="F49">
        <f>WEEKNUM(B49)</f>
        <v/>
      </c>
      <c r="G49">
        <f>TEXT(B49,"mmm")</f>
        <v/>
      </c>
      <c r="H49">
        <f>TEXT(B49,"mmm-yy")</f>
        <v/>
      </c>
      <c r="I49" s="2">
        <f>EOMONTH(B49,0)</f>
        <v/>
      </c>
      <c r="J49" s="2">
        <f>EDATE(B49,1)</f>
        <v/>
      </c>
      <c r="K49">
        <f>WEEKDAY(B49,2)</f>
        <v/>
      </c>
      <c r="L49">
        <f>NETWORKDAYS(B49,TODAY())</f>
        <v/>
      </c>
      <c r="M49">
        <f>IFERROR(DATEDIF(B49,TODAY(),"m"),0)</f>
        <v/>
      </c>
    </row>
    <row r="50">
      <c r="A50">
        <f>Sales!A50</f>
        <v/>
      </c>
      <c r="B50" s="2">
        <f>Sales!B50</f>
        <v/>
      </c>
      <c r="C50">
        <f>YEAR(B50)</f>
        <v/>
      </c>
      <c r="D50">
        <f>MONTH(B50)</f>
        <v/>
      </c>
      <c r="E50">
        <f>DAY(B50)</f>
        <v/>
      </c>
      <c r="F50">
        <f>WEEKNUM(B50)</f>
        <v/>
      </c>
      <c r="G50">
        <f>TEXT(B50,"mmm")</f>
        <v/>
      </c>
      <c r="H50">
        <f>TEXT(B50,"mmm-yy")</f>
        <v/>
      </c>
      <c r="I50" s="2">
        <f>EOMONTH(B50,0)</f>
        <v/>
      </c>
      <c r="J50" s="2">
        <f>EDATE(B50,1)</f>
        <v/>
      </c>
      <c r="K50">
        <f>WEEKDAY(B50,2)</f>
        <v/>
      </c>
      <c r="L50">
        <f>NETWORKDAYS(B50,TODAY())</f>
        <v/>
      </c>
      <c r="M50">
        <f>IFERROR(DATEDIF(B50,TODAY(),"m"),0)</f>
        <v/>
      </c>
    </row>
    <row r="51">
      <c r="A51">
        <f>Sales!A51</f>
        <v/>
      </c>
      <c r="B51" s="2">
        <f>Sales!B51</f>
        <v/>
      </c>
      <c r="C51">
        <f>YEAR(B51)</f>
        <v/>
      </c>
      <c r="D51">
        <f>MONTH(B51)</f>
        <v/>
      </c>
      <c r="E51">
        <f>DAY(B51)</f>
        <v/>
      </c>
      <c r="F51">
        <f>WEEKNUM(B51)</f>
        <v/>
      </c>
      <c r="G51">
        <f>TEXT(B51,"mmm")</f>
        <v/>
      </c>
      <c r="H51">
        <f>TEXT(B51,"mmm-yy")</f>
        <v/>
      </c>
      <c r="I51" s="2">
        <f>EOMONTH(B51,0)</f>
        <v/>
      </c>
      <c r="J51" s="2">
        <f>EDATE(B51,1)</f>
        <v/>
      </c>
      <c r="K51">
        <f>WEEKDAY(B51,2)</f>
        <v/>
      </c>
      <c r="L51">
        <f>NETWORKDAYS(B51,TODAY())</f>
        <v/>
      </c>
      <c r="M51">
        <f>IFERROR(DATEDIF(B51,TODAY(),"m"),0)</f>
        <v/>
      </c>
    </row>
    <row r="52">
      <c r="A52">
        <f>Sales!A52</f>
        <v/>
      </c>
      <c r="B52" s="2">
        <f>Sales!B52</f>
        <v/>
      </c>
      <c r="C52">
        <f>YEAR(B52)</f>
        <v/>
      </c>
      <c r="D52">
        <f>MONTH(B52)</f>
        <v/>
      </c>
      <c r="E52">
        <f>DAY(B52)</f>
        <v/>
      </c>
      <c r="F52">
        <f>WEEKNUM(B52)</f>
        <v/>
      </c>
      <c r="G52">
        <f>TEXT(B52,"mmm")</f>
        <v/>
      </c>
      <c r="H52">
        <f>TEXT(B52,"mmm-yy")</f>
        <v/>
      </c>
      <c r="I52" s="2">
        <f>EOMONTH(B52,0)</f>
        <v/>
      </c>
      <c r="J52" s="2">
        <f>EDATE(B52,1)</f>
        <v/>
      </c>
      <c r="K52">
        <f>WEEKDAY(B52,2)</f>
        <v/>
      </c>
      <c r="L52">
        <f>NETWORKDAYS(B52,TODAY())</f>
        <v/>
      </c>
      <c r="M52">
        <f>IFERROR(DATEDIF(B52,TODAY(),"m"),0)</f>
        <v/>
      </c>
    </row>
    <row r="53">
      <c r="A53">
        <f>Sales!A53</f>
        <v/>
      </c>
      <c r="B53" s="2">
        <f>Sales!B53</f>
        <v/>
      </c>
      <c r="C53">
        <f>YEAR(B53)</f>
        <v/>
      </c>
      <c r="D53">
        <f>MONTH(B53)</f>
        <v/>
      </c>
      <c r="E53">
        <f>DAY(B53)</f>
        <v/>
      </c>
      <c r="F53">
        <f>WEEKNUM(B53)</f>
        <v/>
      </c>
      <c r="G53">
        <f>TEXT(B53,"mmm")</f>
        <v/>
      </c>
      <c r="H53">
        <f>TEXT(B53,"mmm-yy")</f>
        <v/>
      </c>
      <c r="I53" s="2">
        <f>EOMONTH(B53,0)</f>
        <v/>
      </c>
      <c r="J53" s="2">
        <f>EDATE(B53,1)</f>
        <v/>
      </c>
      <c r="K53">
        <f>WEEKDAY(B53,2)</f>
        <v/>
      </c>
      <c r="L53">
        <f>NETWORKDAYS(B53,TODAY())</f>
        <v/>
      </c>
      <c r="M53">
        <f>IFERROR(DATEDIF(B53,TODAY(),"m"),0)</f>
        <v/>
      </c>
    </row>
    <row r="54">
      <c r="A54">
        <f>Sales!A54</f>
        <v/>
      </c>
      <c r="B54" s="2">
        <f>Sales!B54</f>
        <v/>
      </c>
      <c r="C54">
        <f>YEAR(B54)</f>
        <v/>
      </c>
      <c r="D54">
        <f>MONTH(B54)</f>
        <v/>
      </c>
      <c r="E54">
        <f>DAY(B54)</f>
        <v/>
      </c>
      <c r="F54">
        <f>WEEKNUM(B54)</f>
        <v/>
      </c>
      <c r="G54">
        <f>TEXT(B54,"mmm")</f>
        <v/>
      </c>
      <c r="H54">
        <f>TEXT(B54,"mmm-yy")</f>
        <v/>
      </c>
      <c r="I54" s="2">
        <f>EOMONTH(B54,0)</f>
        <v/>
      </c>
      <c r="J54" s="2">
        <f>EDATE(B54,1)</f>
        <v/>
      </c>
      <c r="K54">
        <f>WEEKDAY(B54,2)</f>
        <v/>
      </c>
      <c r="L54">
        <f>NETWORKDAYS(B54,TODAY())</f>
        <v/>
      </c>
      <c r="M54">
        <f>IFERROR(DATEDIF(B54,TODAY(),"m"),0)</f>
        <v/>
      </c>
    </row>
    <row r="55">
      <c r="A55">
        <f>Sales!A55</f>
        <v/>
      </c>
      <c r="B55" s="2">
        <f>Sales!B55</f>
        <v/>
      </c>
      <c r="C55">
        <f>YEAR(B55)</f>
        <v/>
      </c>
      <c r="D55">
        <f>MONTH(B55)</f>
        <v/>
      </c>
      <c r="E55">
        <f>DAY(B55)</f>
        <v/>
      </c>
      <c r="F55">
        <f>WEEKNUM(B55)</f>
        <v/>
      </c>
      <c r="G55">
        <f>TEXT(B55,"mmm")</f>
        <v/>
      </c>
      <c r="H55">
        <f>TEXT(B55,"mmm-yy")</f>
        <v/>
      </c>
      <c r="I55" s="2">
        <f>EOMONTH(B55,0)</f>
        <v/>
      </c>
      <c r="J55" s="2">
        <f>EDATE(B55,1)</f>
        <v/>
      </c>
      <c r="K55">
        <f>WEEKDAY(B55,2)</f>
        <v/>
      </c>
      <c r="L55">
        <f>NETWORKDAYS(B55,TODAY())</f>
        <v/>
      </c>
      <c r="M55">
        <f>IFERROR(DATEDIF(B55,TODAY(),"m"),0)</f>
        <v/>
      </c>
    </row>
    <row r="56">
      <c r="A56">
        <f>Sales!A56</f>
        <v/>
      </c>
      <c r="B56" s="2">
        <f>Sales!B56</f>
        <v/>
      </c>
      <c r="C56">
        <f>YEAR(B56)</f>
        <v/>
      </c>
      <c r="D56">
        <f>MONTH(B56)</f>
        <v/>
      </c>
      <c r="E56">
        <f>DAY(B56)</f>
        <v/>
      </c>
      <c r="F56">
        <f>WEEKNUM(B56)</f>
        <v/>
      </c>
      <c r="G56">
        <f>TEXT(B56,"mmm")</f>
        <v/>
      </c>
      <c r="H56">
        <f>TEXT(B56,"mmm-yy")</f>
        <v/>
      </c>
      <c r="I56" s="2">
        <f>EOMONTH(B56,0)</f>
        <v/>
      </c>
      <c r="J56" s="2">
        <f>EDATE(B56,1)</f>
        <v/>
      </c>
      <c r="K56">
        <f>WEEKDAY(B56,2)</f>
        <v/>
      </c>
      <c r="L56">
        <f>NETWORKDAYS(B56,TODAY())</f>
        <v/>
      </c>
      <c r="M56">
        <f>IFERROR(DATEDIF(B56,TODAY(),"m"),0)</f>
        <v/>
      </c>
    </row>
    <row r="57">
      <c r="A57">
        <f>Sales!A57</f>
        <v/>
      </c>
      <c r="B57" s="2">
        <f>Sales!B57</f>
        <v/>
      </c>
      <c r="C57">
        <f>YEAR(B57)</f>
        <v/>
      </c>
      <c r="D57">
        <f>MONTH(B57)</f>
        <v/>
      </c>
      <c r="E57">
        <f>DAY(B57)</f>
        <v/>
      </c>
      <c r="F57">
        <f>WEEKNUM(B57)</f>
        <v/>
      </c>
      <c r="G57">
        <f>TEXT(B57,"mmm")</f>
        <v/>
      </c>
      <c r="H57">
        <f>TEXT(B57,"mmm-yy")</f>
        <v/>
      </c>
      <c r="I57" s="2">
        <f>EOMONTH(B57,0)</f>
        <v/>
      </c>
      <c r="J57" s="2">
        <f>EDATE(B57,1)</f>
        <v/>
      </c>
      <c r="K57">
        <f>WEEKDAY(B57,2)</f>
        <v/>
      </c>
      <c r="L57">
        <f>NETWORKDAYS(B57,TODAY())</f>
        <v/>
      </c>
      <c r="M57">
        <f>IFERROR(DATEDIF(B57,TODAY(),"m"),0)</f>
        <v/>
      </c>
    </row>
    <row r="58">
      <c r="A58">
        <f>Sales!A58</f>
        <v/>
      </c>
      <c r="B58" s="2">
        <f>Sales!B58</f>
        <v/>
      </c>
      <c r="C58">
        <f>YEAR(B58)</f>
        <v/>
      </c>
      <c r="D58">
        <f>MONTH(B58)</f>
        <v/>
      </c>
      <c r="E58">
        <f>DAY(B58)</f>
        <v/>
      </c>
      <c r="F58">
        <f>WEEKNUM(B58)</f>
        <v/>
      </c>
      <c r="G58">
        <f>TEXT(B58,"mmm")</f>
        <v/>
      </c>
      <c r="H58">
        <f>TEXT(B58,"mmm-yy")</f>
        <v/>
      </c>
      <c r="I58" s="2">
        <f>EOMONTH(B58,0)</f>
        <v/>
      </c>
      <c r="J58" s="2">
        <f>EDATE(B58,1)</f>
        <v/>
      </c>
      <c r="K58">
        <f>WEEKDAY(B58,2)</f>
        <v/>
      </c>
      <c r="L58">
        <f>NETWORKDAYS(B58,TODAY())</f>
        <v/>
      </c>
      <c r="M58">
        <f>IFERROR(DATEDIF(B58,TODAY(),"m"),0)</f>
        <v/>
      </c>
    </row>
    <row r="59">
      <c r="A59">
        <f>Sales!A59</f>
        <v/>
      </c>
      <c r="B59" s="2">
        <f>Sales!B59</f>
        <v/>
      </c>
      <c r="C59">
        <f>YEAR(B59)</f>
        <v/>
      </c>
      <c r="D59">
        <f>MONTH(B59)</f>
        <v/>
      </c>
      <c r="E59">
        <f>DAY(B59)</f>
        <v/>
      </c>
      <c r="F59">
        <f>WEEKNUM(B59)</f>
        <v/>
      </c>
      <c r="G59">
        <f>TEXT(B59,"mmm")</f>
        <v/>
      </c>
      <c r="H59">
        <f>TEXT(B59,"mmm-yy")</f>
        <v/>
      </c>
      <c r="I59" s="2">
        <f>EOMONTH(B59,0)</f>
        <v/>
      </c>
      <c r="J59" s="2">
        <f>EDATE(B59,1)</f>
        <v/>
      </c>
      <c r="K59">
        <f>WEEKDAY(B59,2)</f>
        <v/>
      </c>
      <c r="L59">
        <f>NETWORKDAYS(B59,TODAY())</f>
        <v/>
      </c>
      <c r="M59">
        <f>IFERROR(DATEDIF(B59,TODAY(),"m"),0)</f>
        <v/>
      </c>
    </row>
    <row r="60">
      <c r="A60">
        <f>Sales!A60</f>
        <v/>
      </c>
      <c r="B60" s="2">
        <f>Sales!B60</f>
        <v/>
      </c>
      <c r="C60">
        <f>YEAR(B60)</f>
        <v/>
      </c>
      <c r="D60">
        <f>MONTH(B60)</f>
        <v/>
      </c>
      <c r="E60">
        <f>DAY(B60)</f>
        <v/>
      </c>
      <c r="F60">
        <f>WEEKNUM(B60)</f>
        <v/>
      </c>
      <c r="G60">
        <f>TEXT(B60,"mmm")</f>
        <v/>
      </c>
      <c r="H60">
        <f>TEXT(B60,"mmm-yy")</f>
        <v/>
      </c>
      <c r="I60" s="2">
        <f>EOMONTH(B60,0)</f>
        <v/>
      </c>
      <c r="J60" s="2">
        <f>EDATE(B60,1)</f>
        <v/>
      </c>
      <c r="K60">
        <f>WEEKDAY(B60,2)</f>
        <v/>
      </c>
      <c r="L60">
        <f>NETWORKDAYS(B60,TODAY())</f>
        <v/>
      </c>
      <c r="M60">
        <f>IFERROR(DATEDIF(B60,TODAY(),"m"),0)</f>
        <v/>
      </c>
    </row>
    <row r="61">
      <c r="A61">
        <f>Sales!A61</f>
        <v/>
      </c>
      <c r="B61" s="2">
        <f>Sales!B61</f>
        <v/>
      </c>
      <c r="C61">
        <f>YEAR(B61)</f>
        <v/>
      </c>
      <c r="D61">
        <f>MONTH(B61)</f>
        <v/>
      </c>
      <c r="E61">
        <f>DAY(B61)</f>
        <v/>
      </c>
      <c r="F61">
        <f>WEEKNUM(B61)</f>
        <v/>
      </c>
      <c r="G61">
        <f>TEXT(B61,"mmm")</f>
        <v/>
      </c>
      <c r="H61">
        <f>TEXT(B61,"mmm-yy")</f>
        <v/>
      </c>
      <c r="I61" s="2">
        <f>EOMONTH(B61,0)</f>
        <v/>
      </c>
      <c r="J61" s="2">
        <f>EDATE(B61,1)</f>
        <v/>
      </c>
      <c r="K61">
        <f>WEEKDAY(B61,2)</f>
        <v/>
      </c>
      <c r="L61">
        <f>NETWORKDAYS(B61,TODAY())</f>
        <v/>
      </c>
      <c r="M61">
        <f>IFERROR(DATEDIF(B61,TODAY(),"m"),0)</f>
        <v/>
      </c>
    </row>
    <row r="62">
      <c r="A62">
        <f>Sales!A62</f>
        <v/>
      </c>
      <c r="B62" s="2">
        <f>Sales!B62</f>
        <v/>
      </c>
      <c r="C62">
        <f>YEAR(B62)</f>
        <v/>
      </c>
      <c r="D62">
        <f>MONTH(B62)</f>
        <v/>
      </c>
      <c r="E62">
        <f>DAY(B62)</f>
        <v/>
      </c>
      <c r="F62">
        <f>WEEKNUM(B62)</f>
        <v/>
      </c>
      <c r="G62">
        <f>TEXT(B62,"mmm")</f>
        <v/>
      </c>
      <c r="H62">
        <f>TEXT(B62,"mmm-yy")</f>
        <v/>
      </c>
      <c r="I62" s="2">
        <f>EOMONTH(B62,0)</f>
        <v/>
      </c>
      <c r="J62" s="2">
        <f>EDATE(B62,1)</f>
        <v/>
      </c>
      <c r="K62">
        <f>WEEKDAY(B62,2)</f>
        <v/>
      </c>
      <c r="L62">
        <f>NETWORKDAYS(B62,TODAY())</f>
        <v/>
      </c>
      <c r="M62">
        <f>IFERROR(DATEDIF(B62,TODAY(),"m"),0)</f>
        <v/>
      </c>
    </row>
    <row r="63">
      <c r="A63">
        <f>Sales!A63</f>
        <v/>
      </c>
      <c r="B63" s="2">
        <f>Sales!B63</f>
        <v/>
      </c>
      <c r="C63">
        <f>YEAR(B63)</f>
        <v/>
      </c>
      <c r="D63">
        <f>MONTH(B63)</f>
        <v/>
      </c>
      <c r="E63">
        <f>DAY(B63)</f>
        <v/>
      </c>
      <c r="F63">
        <f>WEEKNUM(B63)</f>
        <v/>
      </c>
      <c r="G63">
        <f>TEXT(B63,"mmm")</f>
        <v/>
      </c>
      <c r="H63">
        <f>TEXT(B63,"mmm-yy")</f>
        <v/>
      </c>
      <c r="I63" s="2">
        <f>EOMONTH(B63,0)</f>
        <v/>
      </c>
      <c r="J63" s="2">
        <f>EDATE(B63,1)</f>
        <v/>
      </c>
      <c r="K63">
        <f>WEEKDAY(B63,2)</f>
        <v/>
      </c>
      <c r="L63">
        <f>NETWORKDAYS(B63,TODAY())</f>
        <v/>
      </c>
      <c r="M63">
        <f>IFERROR(DATEDIF(B63,TODAY(),"m"),0)</f>
        <v/>
      </c>
    </row>
    <row r="64">
      <c r="A64">
        <f>Sales!A64</f>
        <v/>
      </c>
      <c r="B64" s="2">
        <f>Sales!B64</f>
        <v/>
      </c>
      <c r="C64">
        <f>YEAR(B64)</f>
        <v/>
      </c>
      <c r="D64">
        <f>MONTH(B64)</f>
        <v/>
      </c>
      <c r="E64">
        <f>DAY(B64)</f>
        <v/>
      </c>
      <c r="F64">
        <f>WEEKNUM(B64)</f>
        <v/>
      </c>
      <c r="G64">
        <f>TEXT(B64,"mmm")</f>
        <v/>
      </c>
      <c r="H64">
        <f>TEXT(B64,"mmm-yy")</f>
        <v/>
      </c>
      <c r="I64" s="2">
        <f>EOMONTH(B64,0)</f>
        <v/>
      </c>
      <c r="J64" s="2">
        <f>EDATE(B64,1)</f>
        <v/>
      </c>
      <c r="K64">
        <f>WEEKDAY(B64,2)</f>
        <v/>
      </c>
      <c r="L64">
        <f>NETWORKDAYS(B64,TODAY())</f>
        <v/>
      </c>
      <c r="M64">
        <f>IFERROR(DATEDIF(B64,TODAY(),"m"),0)</f>
        <v/>
      </c>
    </row>
    <row r="65">
      <c r="A65">
        <f>Sales!A65</f>
        <v/>
      </c>
      <c r="B65" s="2">
        <f>Sales!B65</f>
        <v/>
      </c>
      <c r="C65">
        <f>YEAR(B65)</f>
        <v/>
      </c>
      <c r="D65">
        <f>MONTH(B65)</f>
        <v/>
      </c>
      <c r="E65">
        <f>DAY(B65)</f>
        <v/>
      </c>
      <c r="F65">
        <f>WEEKNUM(B65)</f>
        <v/>
      </c>
      <c r="G65">
        <f>TEXT(B65,"mmm")</f>
        <v/>
      </c>
      <c r="H65">
        <f>TEXT(B65,"mmm-yy")</f>
        <v/>
      </c>
      <c r="I65" s="2">
        <f>EOMONTH(B65,0)</f>
        <v/>
      </c>
      <c r="J65" s="2">
        <f>EDATE(B65,1)</f>
        <v/>
      </c>
      <c r="K65">
        <f>WEEKDAY(B65,2)</f>
        <v/>
      </c>
      <c r="L65">
        <f>NETWORKDAYS(B65,TODAY())</f>
        <v/>
      </c>
      <c r="M65">
        <f>IFERROR(DATEDIF(B65,TODAY(),"m"),0)</f>
        <v/>
      </c>
    </row>
    <row r="66">
      <c r="A66">
        <f>Sales!A66</f>
        <v/>
      </c>
      <c r="B66" s="2">
        <f>Sales!B66</f>
        <v/>
      </c>
      <c r="C66">
        <f>YEAR(B66)</f>
        <v/>
      </c>
      <c r="D66">
        <f>MONTH(B66)</f>
        <v/>
      </c>
      <c r="E66">
        <f>DAY(B66)</f>
        <v/>
      </c>
      <c r="F66">
        <f>WEEKNUM(B66)</f>
        <v/>
      </c>
      <c r="G66">
        <f>TEXT(B66,"mmm")</f>
        <v/>
      </c>
      <c r="H66">
        <f>TEXT(B66,"mmm-yy")</f>
        <v/>
      </c>
      <c r="I66" s="2">
        <f>EOMONTH(B66,0)</f>
        <v/>
      </c>
      <c r="J66" s="2">
        <f>EDATE(B66,1)</f>
        <v/>
      </c>
      <c r="K66">
        <f>WEEKDAY(B66,2)</f>
        <v/>
      </c>
      <c r="L66">
        <f>NETWORKDAYS(B66,TODAY())</f>
        <v/>
      </c>
      <c r="M66">
        <f>IFERROR(DATEDIF(B66,TODAY(),"m"),0)</f>
        <v/>
      </c>
    </row>
    <row r="67">
      <c r="A67">
        <f>Sales!A67</f>
        <v/>
      </c>
      <c r="B67" s="2">
        <f>Sales!B67</f>
        <v/>
      </c>
      <c r="C67">
        <f>YEAR(B67)</f>
        <v/>
      </c>
      <c r="D67">
        <f>MONTH(B67)</f>
        <v/>
      </c>
      <c r="E67">
        <f>DAY(B67)</f>
        <v/>
      </c>
      <c r="F67">
        <f>WEEKNUM(B67)</f>
        <v/>
      </c>
      <c r="G67">
        <f>TEXT(B67,"mmm")</f>
        <v/>
      </c>
      <c r="H67">
        <f>TEXT(B67,"mmm-yy")</f>
        <v/>
      </c>
      <c r="I67" s="2">
        <f>EOMONTH(B67,0)</f>
        <v/>
      </c>
      <c r="J67" s="2">
        <f>EDATE(B67,1)</f>
        <v/>
      </c>
      <c r="K67">
        <f>WEEKDAY(B67,2)</f>
        <v/>
      </c>
      <c r="L67">
        <f>NETWORKDAYS(B67,TODAY())</f>
        <v/>
      </c>
      <c r="M67">
        <f>IFERROR(DATEDIF(B67,TODAY(),"m"),0)</f>
        <v/>
      </c>
    </row>
    <row r="68">
      <c r="A68">
        <f>Sales!A68</f>
        <v/>
      </c>
      <c r="B68" s="2">
        <f>Sales!B68</f>
        <v/>
      </c>
      <c r="C68">
        <f>YEAR(B68)</f>
        <v/>
      </c>
      <c r="D68">
        <f>MONTH(B68)</f>
        <v/>
      </c>
      <c r="E68">
        <f>DAY(B68)</f>
        <v/>
      </c>
      <c r="F68">
        <f>WEEKNUM(B68)</f>
        <v/>
      </c>
      <c r="G68">
        <f>TEXT(B68,"mmm")</f>
        <v/>
      </c>
      <c r="H68">
        <f>TEXT(B68,"mmm-yy")</f>
        <v/>
      </c>
      <c r="I68" s="2">
        <f>EOMONTH(B68,0)</f>
        <v/>
      </c>
      <c r="J68" s="2">
        <f>EDATE(B68,1)</f>
        <v/>
      </c>
      <c r="K68">
        <f>WEEKDAY(B68,2)</f>
        <v/>
      </c>
      <c r="L68">
        <f>NETWORKDAYS(B68,TODAY())</f>
        <v/>
      </c>
      <c r="M68">
        <f>IFERROR(DATEDIF(B68,TODAY(),"m"),0)</f>
        <v/>
      </c>
    </row>
    <row r="69">
      <c r="A69">
        <f>Sales!A69</f>
        <v/>
      </c>
      <c r="B69" s="2">
        <f>Sales!B69</f>
        <v/>
      </c>
      <c r="C69">
        <f>YEAR(B69)</f>
        <v/>
      </c>
      <c r="D69">
        <f>MONTH(B69)</f>
        <v/>
      </c>
      <c r="E69">
        <f>DAY(B69)</f>
        <v/>
      </c>
      <c r="F69">
        <f>WEEKNUM(B69)</f>
        <v/>
      </c>
      <c r="G69">
        <f>TEXT(B69,"mmm")</f>
        <v/>
      </c>
      <c r="H69">
        <f>TEXT(B69,"mmm-yy")</f>
        <v/>
      </c>
      <c r="I69" s="2">
        <f>EOMONTH(B69,0)</f>
        <v/>
      </c>
      <c r="J69" s="2">
        <f>EDATE(B69,1)</f>
        <v/>
      </c>
      <c r="K69">
        <f>WEEKDAY(B69,2)</f>
        <v/>
      </c>
      <c r="L69">
        <f>NETWORKDAYS(B69,TODAY())</f>
        <v/>
      </c>
      <c r="M69">
        <f>IFERROR(DATEDIF(B69,TODAY(),"m"),0)</f>
        <v/>
      </c>
    </row>
    <row r="70">
      <c r="A70">
        <f>Sales!A70</f>
        <v/>
      </c>
      <c r="B70" s="2">
        <f>Sales!B70</f>
        <v/>
      </c>
      <c r="C70">
        <f>YEAR(B70)</f>
        <v/>
      </c>
      <c r="D70">
        <f>MONTH(B70)</f>
        <v/>
      </c>
      <c r="E70">
        <f>DAY(B70)</f>
        <v/>
      </c>
      <c r="F70">
        <f>WEEKNUM(B70)</f>
        <v/>
      </c>
      <c r="G70">
        <f>TEXT(B70,"mmm")</f>
        <v/>
      </c>
      <c r="H70">
        <f>TEXT(B70,"mmm-yy")</f>
        <v/>
      </c>
      <c r="I70" s="2">
        <f>EOMONTH(B70,0)</f>
        <v/>
      </c>
      <c r="J70" s="2">
        <f>EDATE(B70,1)</f>
        <v/>
      </c>
      <c r="K70">
        <f>WEEKDAY(B70,2)</f>
        <v/>
      </c>
      <c r="L70">
        <f>NETWORKDAYS(B70,TODAY())</f>
        <v/>
      </c>
      <c r="M70">
        <f>IFERROR(DATEDIF(B70,TODAY(),"m"),0)</f>
        <v/>
      </c>
    </row>
    <row r="71">
      <c r="A71">
        <f>Sales!A71</f>
        <v/>
      </c>
      <c r="B71" s="2">
        <f>Sales!B71</f>
        <v/>
      </c>
      <c r="C71">
        <f>YEAR(B71)</f>
        <v/>
      </c>
      <c r="D71">
        <f>MONTH(B71)</f>
        <v/>
      </c>
      <c r="E71">
        <f>DAY(B71)</f>
        <v/>
      </c>
      <c r="F71">
        <f>WEEKNUM(B71)</f>
        <v/>
      </c>
      <c r="G71">
        <f>TEXT(B71,"mmm")</f>
        <v/>
      </c>
      <c r="H71">
        <f>TEXT(B71,"mmm-yy")</f>
        <v/>
      </c>
      <c r="I71" s="2">
        <f>EOMONTH(B71,0)</f>
        <v/>
      </c>
      <c r="J71" s="2">
        <f>EDATE(B71,1)</f>
        <v/>
      </c>
      <c r="K71">
        <f>WEEKDAY(B71,2)</f>
        <v/>
      </c>
      <c r="L71">
        <f>NETWORKDAYS(B71,TODAY())</f>
        <v/>
      </c>
      <c r="M71">
        <f>IFERROR(DATEDIF(B71,TODAY(),"m"),0)</f>
        <v/>
      </c>
    </row>
    <row r="72">
      <c r="A72">
        <f>Sales!A72</f>
        <v/>
      </c>
      <c r="B72" s="2">
        <f>Sales!B72</f>
        <v/>
      </c>
      <c r="C72">
        <f>YEAR(B72)</f>
        <v/>
      </c>
      <c r="D72">
        <f>MONTH(B72)</f>
        <v/>
      </c>
      <c r="E72">
        <f>DAY(B72)</f>
        <v/>
      </c>
      <c r="F72">
        <f>WEEKNUM(B72)</f>
        <v/>
      </c>
      <c r="G72">
        <f>TEXT(B72,"mmm")</f>
        <v/>
      </c>
      <c r="H72">
        <f>TEXT(B72,"mmm-yy")</f>
        <v/>
      </c>
      <c r="I72" s="2">
        <f>EOMONTH(B72,0)</f>
        <v/>
      </c>
      <c r="J72" s="2">
        <f>EDATE(B72,1)</f>
        <v/>
      </c>
      <c r="K72">
        <f>WEEKDAY(B72,2)</f>
        <v/>
      </c>
      <c r="L72">
        <f>NETWORKDAYS(B72,TODAY())</f>
        <v/>
      </c>
      <c r="M72">
        <f>IFERROR(DATEDIF(B72,TODAY(),"m"),0)</f>
        <v/>
      </c>
    </row>
    <row r="73">
      <c r="A73">
        <f>Sales!A73</f>
        <v/>
      </c>
      <c r="B73" s="2">
        <f>Sales!B73</f>
        <v/>
      </c>
      <c r="C73">
        <f>YEAR(B73)</f>
        <v/>
      </c>
      <c r="D73">
        <f>MONTH(B73)</f>
        <v/>
      </c>
      <c r="E73">
        <f>DAY(B73)</f>
        <v/>
      </c>
      <c r="F73">
        <f>WEEKNUM(B73)</f>
        <v/>
      </c>
      <c r="G73">
        <f>TEXT(B73,"mmm")</f>
        <v/>
      </c>
      <c r="H73">
        <f>TEXT(B73,"mmm-yy")</f>
        <v/>
      </c>
      <c r="I73" s="2">
        <f>EOMONTH(B73,0)</f>
        <v/>
      </c>
      <c r="J73" s="2">
        <f>EDATE(B73,1)</f>
        <v/>
      </c>
      <c r="K73">
        <f>WEEKDAY(B73,2)</f>
        <v/>
      </c>
      <c r="L73">
        <f>NETWORKDAYS(B73,TODAY())</f>
        <v/>
      </c>
      <c r="M73">
        <f>IFERROR(DATEDIF(B73,TODAY(),"m"),0)</f>
        <v/>
      </c>
    </row>
    <row r="74">
      <c r="A74">
        <f>Sales!A74</f>
        <v/>
      </c>
      <c r="B74" s="2">
        <f>Sales!B74</f>
        <v/>
      </c>
      <c r="C74">
        <f>YEAR(B74)</f>
        <v/>
      </c>
      <c r="D74">
        <f>MONTH(B74)</f>
        <v/>
      </c>
      <c r="E74">
        <f>DAY(B74)</f>
        <v/>
      </c>
      <c r="F74">
        <f>WEEKNUM(B74)</f>
        <v/>
      </c>
      <c r="G74">
        <f>TEXT(B74,"mmm")</f>
        <v/>
      </c>
      <c r="H74">
        <f>TEXT(B74,"mmm-yy")</f>
        <v/>
      </c>
      <c r="I74" s="2">
        <f>EOMONTH(B74,0)</f>
        <v/>
      </c>
      <c r="J74" s="2">
        <f>EDATE(B74,1)</f>
        <v/>
      </c>
      <c r="K74">
        <f>WEEKDAY(B74,2)</f>
        <v/>
      </c>
      <c r="L74">
        <f>NETWORKDAYS(B74,TODAY())</f>
        <v/>
      </c>
      <c r="M74">
        <f>IFERROR(DATEDIF(B74,TODAY(),"m"),0)</f>
        <v/>
      </c>
    </row>
    <row r="75">
      <c r="A75">
        <f>Sales!A75</f>
        <v/>
      </c>
      <c r="B75" s="2">
        <f>Sales!B75</f>
        <v/>
      </c>
      <c r="C75">
        <f>YEAR(B75)</f>
        <v/>
      </c>
      <c r="D75">
        <f>MONTH(B75)</f>
        <v/>
      </c>
      <c r="E75">
        <f>DAY(B75)</f>
        <v/>
      </c>
      <c r="F75">
        <f>WEEKNUM(B75)</f>
        <v/>
      </c>
      <c r="G75">
        <f>TEXT(B75,"mmm")</f>
        <v/>
      </c>
      <c r="H75">
        <f>TEXT(B75,"mmm-yy")</f>
        <v/>
      </c>
      <c r="I75" s="2">
        <f>EOMONTH(B75,0)</f>
        <v/>
      </c>
      <c r="J75" s="2">
        <f>EDATE(B75,1)</f>
        <v/>
      </c>
      <c r="K75">
        <f>WEEKDAY(B75,2)</f>
        <v/>
      </c>
      <c r="L75">
        <f>NETWORKDAYS(B75,TODAY())</f>
        <v/>
      </c>
      <c r="M75">
        <f>IFERROR(DATEDIF(B75,TODAY(),"m"),0)</f>
        <v/>
      </c>
    </row>
    <row r="76">
      <c r="A76">
        <f>Sales!A76</f>
        <v/>
      </c>
      <c r="B76" s="2">
        <f>Sales!B76</f>
        <v/>
      </c>
      <c r="C76">
        <f>YEAR(B76)</f>
        <v/>
      </c>
      <c r="D76">
        <f>MONTH(B76)</f>
        <v/>
      </c>
      <c r="E76">
        <f>DAY(B76)</f>
        <v/>
      </c>
      <c r="F76">
        <f>WEEKNUM(B76)</f>
        <v/>
      </c>
      <c r="G76">
        <f>TEXT(B76,"mmm")</f>
        <v/>
      </c>
      <c r="H76">
        <f>TEXT(B76,"mmm-yy")</f>
        <v/>
      </c>
      <c r="I76" s="2">
        <f>EOMONTH(B76,0)</f>
        <v/>
      </c>
      <c r="J76" s="2">
        <f>EDATE(B76,1)</f>
        <v/>
      </c>
      <c r="K76">
        <f>WEEKDAY(B76,2)</f>
        <v/>
      </c>
      <c r="L76">
        <f>NETWORKDAYS(B76,TODAY())</f>
        <v/>
      </c>
      <c r="M76">
        <f>IFERROR(DATEDIF(B76,TODAY(),"m"),0)</f>
        <v/>
      </c>
    </row>
    <row r="77">
      <c r="A77">
        <f>Sales!A77</f>
        <v/>
      </c>
      <c r="B77" s="2">
        <f>Sales!B77</f>
        <v/>
      </c>
      <c r="C77">
        <f>YEAR(B77)</f>
        <v/>
      </c>
      <c r="D77">
        <f>MONTH(B77)</f>
        <v/>
      </c>
      <c r="E77">
        <f>DAY(B77)</f>
        <v/>
      </c>
      <c r="F77">
        <f>WEEKNUM(B77)</f>
        <v/>
      </c>
      <c r="G77">
        <f>TEXT(B77,"mmm")</f>
        <v/>
      </c>
      <c r="H77">
        <f>TEXT(B77,"mmm-yy")</f>
        <v/>
      </c>
      <c r="I77" s="2">
        <f>EOMONTH(B77,0)</f>
        <v/>
      </c>
      <c r="J77" s="2">
        <f>EDATE(B77,1)</f>
        <v/>
      </c>
      <c r="K77">
        <f>WEEKDAY(B77,2)</f>
        <v/>
      </c>
      <c r="L77">
        <f>NETWORKDAYS(B77,TODAY())</f>
        <v/>
      </c>
      <c r="M77">
        <f>IFERROR(DATEDIF(B77,TODAY(),"m"),0)</f>
        <v/>
      </c>
    </row>
    <row r="78">
      <c r="A78">
        <f>Sales!A78</f>
        <v/>
      </c>
      <c r="B78" s="2">
        <f>Sales!B78</f>
        <v/>
      </c>
      <c r="C78">
        <f>YEAR(B78)</f>
        <v/>
      </c>
      <c r="D78">
        <f>MONTH(B78)</f>
        <v/>
      </c>
      <c r="E78">
        <f>DAY(B78)</f>
        <v/>
      </c>
      <c r="F78">
        <f>WEEKNUM(B78)</f>
        <v/>
      </c>
      <c r="G78">
        <f>TEXT(B78,"mmm")</f>
        <v/>
      </c>
      <c r="H78">
        <f>TEXT(B78,"mmm-yy")</f>
        <v/>
      </c>
      <c r="I78" s="2">
        <f>EOMONTH(B78,0)</f>
        <v/>
      </c>
      <c r="J78" s="2">
        <f>EDATE(B78,1)</f>
        <v/>
      </c>
      <c r="K78">
        <f>WEEKDAY(B78,2)</f>
        <v/>
      </c>
      <c r="L78">
        <f>NETWORKDAYS(B78,TODAY())</f>
        <v/>
      </c>
      <c r="M78">
        <f>IFERROR(DATEDIF(B78,TODAY(),"m"),0)</f>
        <v/>
      </c>
    </row>
    <row r="79">
      <c r="A79">
        <f>Sales!A79</f>
        <v/>
      </c>
      <c r="B79" s="2">
        <f>Sales!B79</f>
        <v/>
      </c>
      <c r="C79">
        <f>YEAR(B79)</f>
        <v/>
      </c>
      <c r="D79">
        <f>MONTH(B79)</f>
        <v/>
      </c>
      <c r="E79">
        <f>DAY(B79)</f>
        <v/>
      </c>
      <c r="F79">
        <f>WEEKNUM(B79)</f>
        <v/>
      </c>
      <c r="G79">
        <f>TEXT(B79,"mmm")</f>
        <v/>
      </c>
      <c r="H79">
        <f>TEXT(B79,"mmm-yy")</f>
        <v/>
      </c>
      <c r="I79" s="2">
        <f>EOMONTH(B79,0)</f>
        <v/>
      </c>
      <c r="J79" s="2">
        <f>EDATE(B79,1)</f>
        <v/>
      </c>
      <c r="K79">
        <f>WEEKDAY(B79,2)</f>
        <v/>
      </c>
      <c r="L79">
        <f>NETWORKDAYS(B79,TODAY())</f>
        <v/>
      </c>
      <c r="M79">
        <f>IFERROR(DATEDIF(B79,TODAY(),"m"),0)</f>
        <v/>
      </c>
    </row>
    <row r="80">
      <c r="A80">
        <f>Sales!A80</f>
        <v/>
      </c>
      <c r="B80" s="2">
        <f>Sales!B80</f>
        <v/>
      </c>
      <c r="C80">
        <f>YEAR(B80)</f>
        <v/>
      </c>
      <c r="D80">
        <f>MONTH(B80)</f>
        <v/>
      </c>
      <c r="E80">
        <f>DAY(B80)</f>
        <v/>
      </c>
      <c r="F80">
        <f>WEEKNUM(B80)</f>
        <v/>
      </c>
      <c r="G80">
        <f>TEXT(B80,"mmm")</f>
        <v/>
      </c>
      <c r="H80">
        <f>TEXT(B80,"mmm-yy")</f>
        <v/>
      </c>
      <c r="I80" s="2">
        <f>EOMONTH(B80,0)</f>
        <v/>
      </c>
      <c r="J80" s="2">
        <f>EDATE(B80,1)</f>
        <v/>
      </c>
      <c r="K80">
        <f>WEEKDAY(B80,2)</f>
        <v/>
      </c>
      <c r="L80">
        <f>NETWORKDAYS(B80,TODAY())</f>
        <v/>
      </c>
      <c r="M80">
        <f>IFERROR(DATEDIF(B80,TODAY(),"m"),0)</f>
        <v/>
      </c>
    </row>
    <row r="81">
      <c r="A81">
        <f>Sales!A81</f>
        <v/>
      </c>
      <c r="B81" s="2">
        <f>Sales!B81</f>
        <v/>
      </c>
      <c r="C81">
        <f>YEAR(B81)</f>
        <v/>
      </c>
      <c r="D81">
        <f>MONTH(B81)</f>
        <v/>
      </c>
      <c r="E81">
        <f>DAY(B81)</f>
        <v/>
      </c>
      <c r="F81">
        <f>WEEKNUM(B81)</f>
        <v/>
      </c>
      <c r="G81">
        <f>TEXT(B81,"mmm")</f>
        <v/>
      </c>
      <c r="H81">
        <f>TEXT(B81,"mmm-yy")</f>
        <v/>
      </c>
      <c r="I81" s="2">
        <f>EOMONTH(B81,0)</f>
        <v/>
      </c>
      <c r="J81" s="2">
        <f>EDATE(B81,1)</f>
        <v/>
      </c>
      <c r="K81">
        <f>WEEKDAY(B81,2)</f>
        <v/>
      </c>
      <c r="L81">
        <f>NETWORKDAYS(B81,TODAY())</f>
        <v/>
      </c>
      <c r="M81">
        <f>IFERROR(DATEDIF(B81,TODAY(),"m"),0)</f>
        <v/>
      </c>
    </row>
    <row r="82">
      <c r="A82">
        <f>Sales!A82</f>
        <v/>
      </c>
      <c r="B82" s="2">
        <f>Sales!B82</f>
        <v/>
      </c>
      <c r="C82">
        <f>YEAR(B82)</f>
        <v/>
      </c>
      <c r="D82">
        <f>MONTH(B82)</f>
        <v/>
      </c>
      <c r="E82">
        <f>DAY(B82)</f>
        <v/>
      </c>
      <c r="F82">
        <f>WEEKNUM(B82)</f>
        <v/>
      </c>
      <c r="G82">
        <f>TEXT(B82,"mmm")</f>
        <v/>
      </c>
      <c r="H82">
        <f>TEXT(B82,"mmm-yy")</f>
        <v/>
      </c>
      <c r="I82" s="2">
        <f>EOMONTH(B82,0)</f>
        <v/>
      </c>
      <c r="J82" s="2">
        <f>EDATE(B82,1)</f>
        <v/>
      </c>
      <c r="K82">
        <f>WEEKDAY(B82,2)</f>
        <v/>
      </c>
      <c r="L82">
        <f>NETWORKDAYS(B82,TODAY())</f>
        <v/>
      </c>
      <c r="M82">
        <f>IFERROR(DATEDIF(B82,TODAY(),"m"),0)</f>
        <v/>
      </c>
    </row>
    <row r="83">
      <c r="A83">
        <f>Sales!A83</f>
        <v/>
      </c>
      <c r="B83" s="2">
        <f>Sales!B83</f>
        <v/>
      </c>
      <c r="C83">
        <f>YEAR(B83)</f>
        <v/>
      </c>
      <c r="D83">
        <f>MONTH(B83)</f>
        <v/>
      </c>
      <c r="E83">
        <f>DAY(B83)</f>
        <v/>
      </c>
      <c r="F83">
        <f>WEEKNUM(B83)</f>
        <v/>
      </c>
      <c r="G83">
        <f>TEXT(B83,"mmm")</f>
        <v/>
      </c>
      <c r="H83">
        <f>TEXT(B83,"mmm-yy")</f>
        <v/>
      </c>
      <c r="I83" s="2">
        <f>EOMONTH(B83,0)</f>
        <v/>
      </c>
      <c r="J83" s="2">
        <f>EDATE(B83,1)</f>
        <v/>
      </c>
      <c r="K83">
        <f>WEEKDAY(B83,2)</f>
        <v/>
      </c>
      <c r="L83">
        <f>NETWORKDAYS(B83,TODAY())</f>
        <v/>
      </c>
      <c r="M83">
        <f>IFERROR(DATEDIF(B83,TODAY(),"m"),0)</f>
        <v/>
      </c>
    </row>
    <row r="84">
      <c r="A84">
        <f>Sales!A84</f>
        <v/>
      </c>
      <c r="B84" s="2">
        <f>Sales!B84</f>
        <v/>
      </c>
      <c r="C84">
        <f>YEAR(B84)</f>
        <v/>
      </c>
      <c r="D84">
        <f>MONTH(B84)</f>
        <v/>
      </c>
      <c r="E84">
        <f>DAY(B84)</f>
        <v/>
      </c>
      <c r="F84">
        <f>WEEKNUM(B84)</f>
        <v/>
      </c>
      <c r="G84">
        <f>TEXT(B84,"mmm")</f>
        <v/>
      </c>
      <c r="H84">
        <f>TEXT(B84,"mmm-yy")</f>
        <v/>
      </c>
      <c r="I84" s="2">
        <f>EOMONTH(B84,0)</f>
        <v/>
      </c>
      <c r="J84" s="2">
        <f>EDATE(B84,1)</f>
        <v/>
      </c>
      <c r="K84">
        <f>WEEKDAY(B84,2)</f>
        <v/>
      </c>
      <c r="L84">
        <f>NETWORKDAYS(B84,TODAY())</f>
        <v/>
      </c>
      <c r="M84">
        <f>IFERROR(DATEDIF(B84,TODAY(),"m"),0)</f>
        <v/>
      </c>
    </row>
    <row r="85">
      <c r="A85">
        <f>Sales!A85</f>
        <v/>
      </c>
      <c r="B85" s="2">
        <f>Sales!B85</f>
        <v/>
      </c>
      <c r="C85">
        <f>YEAR(B85)</f>
        <v/>
      </c>
      <c r="D85">
        <f>MONTH(B85)</f>
        <v/>
      </c>
      <c r="E85">
        <f>DAY(B85)</f>
        <v/>
      </c>
      <c r="F85">
        <f>WEEKNUM(B85)</f>
        <v/>
      </c>
      <c r="G85">
        <f>TEXT(B85,"mmm")</f>
        <v/>
      </c>
      <c r="H85">
        <f>TEXT(B85,"mmm-yy")</f>
        <v/>
      </c>
      <c r="I85" s="2">
        <f>EOMONTH(B85,0)</f>
        <v/>
      </c>
      <c r="J85" s="2">
        <f>EDATE(B85,1)</f>
        <v/>
      </c>
      <c r="K85">
        <f>WEEKDAY(B85,2)</f>
        <v/>
      </c>
      <c r="L85">
        <f>NETWORKDAYS(B85,TODAY())</f>
        <v/>
      </c>
      <c r="M85">
        <f>IFERROR(DATEDIF(B85,TODAY(),"m"),0)</f>
        <v/>
      </c>
    </row>
    <row r="86">
      <c r="A86">
        <f>Sales!A86</f>
        <v/>
      </c>
      <c r="B86" s="2">
        <f>Sales!B86</f>
        <v/>
      </c>
      <c r="C86">
        <f>YEAR(B86)</f>
        <v/>
      </c>
      <c r="D86">
        <f>MONTH(B86)</f>
        <v/>
      </c>
      <c r="E86">
        <f>DAY(B86)</f>
        <v/>
      </c>
      <c r="F86">
        <f>WEEKNUM(B86)</f>
        <v/>
      </c>
      <c r="G86">
        <f>TEXT(B86,"mmm")</f>
        <v/>
      </c>
      <c r="H86">
        <f>TEXT(B86,"mmm-yy")</f>
        <v/>
      </c>
      <c r="I86" s="2">
        <f>EOMONTH(B86,0)</f>
        <v/>
      </c>
      <c r="J86" s="2">
        <f>EDATE(B86,1)</f>
        <v/>
      </c>
      <c r="K86">
        <f>WEEKDAY(B86,2)</f>
        <v/>
      </c>
      <c r="L86">
        <f>NETWORKDAYS(B86,TODAY())</f>
        <v/>
      </c>
      <c r="M86">
        <f>IFERROR(DATEDIF(B86,TODAY(),"m"),0)</f>
        <v/>
      </c>
    </row>
    <row r="87">
      <c r="A87">
        <f>Sales!A87</f>
        <v/>
      </c>
      <c r="B87" s="2">
        <f>Sales!B87</f>
        <v/>
      </c>
      <c r="C87">
        <f>YEAR(B87)</f>
        <v/>
      </c>
      <c r="D87">
        <f>MONTH(B87)</f>
        <v/>
      </c>
      <c r="E87">
        <f>DAY(B87)</f>
        <v/>
      </c>
      <c r="F87">
        <f>WEEKNUM(B87)</f>
        <v/>
      </c>
      <c r="G87">
        <f>TEXT(B87,"mmm")</f>
        <v/>
      </c>
      <c r="H87">
        <f>TEXT(B87,"mmm-yy")</f>
        <v/>
      </c>
      <c r="I87" s="2">
        <f>EOMONTH(B87,0)</f>
        <v/>
      </c>
      <c r="J87" s="2">
        <f>EDATE(B87,1)</f>
        <v/>
      </c>
      <c r="K87">
        <f>WEEKDAY(B87,2)</f>
        <v/>
      </c>
      <c r="L87">
        <f>NETWORKDAYS(B87,TODAY())</f>
        <v/>
      </c>
      <c r="M87">
        <f>IFERROR(DATEDIF(B87,TODAY(),"m"),0)</f>
        <v/>
      </c>
    </row>
    <row r="88">
      <c r="A88">
        <f>Sales!A88</f>
        <v/>
      </c>
      <c r="B88" s="2">
        <f>Sales!B88</f>
        <v/>
      </c>
      <c r="C88">
        <f>YEAR(B88)</f>
        <v/>
      </c>
      <c r="D88">
        <f>MONTH(B88)</f>
        <v/>
      </c>
      <c r="E88">
        <f>DAY(B88)</f>
        <v/>
      </c>
      <c r="F88">
        <f>WEEKNUM(B88)</f>
        <v/>
      </c>
      <c r="G88">
        <f>TEXT(B88,"mmm")</f>
        <v/>
      </c>
      <c r="H88">
        <f>TEXT(B88,"mmm-yy")</f>
        <v/>
      </c>
      <c r="I88" s="2">
        <f>EOMONTH(B88,0)</f>
        <v/>
      </c>
      <c r="J88" s="2">
        <f>EDATE(B88,1)</f>
        <v/>
      </c>
      <c r="K88">
        <f>WEEKDAY(B88,2)</f>
        <v/>
      </c>
      <c r="L88">
        <f>NETWORKDAYS(B88,TODAY())</f>
        <v/>
      </c>
      <c r="M88">
        <f>IFERROR(DATEDIF(B88,TODAY(),"m"),0)</f>
        <v/>
      </c>
    </row>
    <row r="89">
      <c r="A89">
        <f>Sales!A89</f>
        <v/>
      </c>
      <c r="B89" s="2">
        <f>Sales!B89</f>
        <v/>
      </c>
      <c r="C89">
        <f>YEAR(B89)</f>
        <v/>
      </c>
      <c r="D89">
        <f>MONTH(B89)</f>
        <v/>
      </c>
      <c r="E89">
        <f>DAY(B89)</f>
        <v/>
      </c>
      <c r="F89">
        <f>WEEKNUM(B89)</f>
        <v/>
      </c>
      <c r="G89">
        <f>TEXT(B89,"mmm")</f>
        <v/>
      </c>
      <c r="H89">
        <f>TEXT(B89,"mmm-yy")</f>
        <v/>
      </c>
      <c r="I89" s="2">
        <f>EOMONTH(B89,0)</f>
        <v/>
      </c>
      <c r="J89" s="2">
        <f>EDATE(B89,1)</f>
        <v/>
      </c>
      <c r="K89">
        <f>WEEKDAY(B89,2)</f>
        <v/>
      </c>
      <c r="L89">
        <f>NETWORKDAYS(B89,TODAY())</f>
        <v/>
      </c>
      <c r="M89">
        <f>IFERROR(DATEDIF(B89,TODAY(),"m"),0)</f>
        <v/>
      </c>
    </row>
    <row r="90">
      <c r="A90">
        <f>Sales!A90</f>
        <v/>
      </c>
      <c r="B90" s="2">
        <f>Sales!B90</f>
        <v/>
      </c>
      <c r="C90">
        <f>YEAR(B90)</f>
        <v/>
      </c>
      <c r="D90">
        <f>MONTH(B90)</f>
        <v/>
      </c>
      <c r="E90">
        <f>DAY(B90)</f>
        <v/>
      </c>
      <c r="F90">
        <f>WEEKNUM(B90)</f>
        <v/>
      </c>
      <c r="G90">
        <f>TEXT(B90,"mmm")</f>
        <v/>
      </c>
      <c r="H90">
        <f>TEXT(B90,"mmm-yy")</f>
        <v/>
      </c>
      <c r="I90" s="2">
        <f>EOMONTH(B90,0)</f>
        <v/>
      </c>
      <c r="J90" s="2">
        <f>EDATE(B90,1)</f>
        <v/>
      </c>
      <c r="K90">
        <f>WEEKDAY(B90,2)</f>
        <v/>
      </c>
      <c r="L90">
        <f>NETWORKDAYS(B90,TODAY())</f>
        <v/>
      </c>
      <c r="M90">
        <f>IFERROR(DATEDIF(B90,TODAY(),"m"),0)</f>
        <v/>
      </c>
    </row>
    <row r="91">
      <c r="A91">
        <f>Sales!A91</f>
        <v/>
      </c>
      <c r="B91" s="2">
        <f>Sales!B91</f>
        <v/>
      </c>
      <c r="C91">
        <f>YEAR(B91)</f>
        <v/>
      </c>
      <c r="D91">
        <f>MONTH(B91)</f>
        <v/>
      </c>
      <c r="E91">
        <f>DAY(B91)</f>
        <v/>
      </c>
      <c r="F91">
        <f>WEEKNUM(B91)</f>
        <v/>
      </c>
      <c r="G91">
        <f>TEXT(B91,"mmm")</f>
        <v/>
      </c>
      <c r="H91">
        <f>TEXT(B91,"mmm-yy")</f>
        <v/>
      </c>
      <c r="I91" s="2">
        <f>EOMONTH(B91,0)</f>
        <v/>
      </c>
      <c r="J91" s="2">
        <f>EDATE(B91,1)</f>
        <v/>
      </c>
      <c r="K91">
        <f>WEEKDAY(B91,2)</f>
        <v/>
      </c>
      <c r="L91">
        <f>NETWORKDAYS(B91,TODAY())</f>
        <v/>
      </c>
      <c r="M91">
        <f>IFERROR(DATEDIF(B91,TODAY(),"m"),0)</f>
        <v/>
      </c>
    </row>
    <row r="92">
      <c r="A92">
        <f>Sales!A92</f>
        <v/>
      </c>
      <c r="B92" s="2">
        <f>Sales!B92</f>
        <v/>
      </c>
      <c r="C92">
        <f>YEAR(B92)</f>
        <v/>
      </c>
      <c r="D92">
        <f>MONTH(B92)</f>
        <v/>
      </c>
      <c r="E92">
        <f>DAY(B92)</f>
        <v/>
      </c>
      <c r="F92">
        <f>WEEKNUM(B92)</f>
        <v/>
      </c>
      <c r="G92">
        <f>TEXT(B92,"mmm")</f>
        <v/>
      </c>
      <c r="H92">
        <f>TEXT(B92,"mmm-yy")</f>
        <v/>
      </c>
      <c r="I92" s="2">
        <f>EOMONTH(B92,0)</f>
        <v/>
      </c>
      <c r="J92" s="2">
        <f>EDATE(B92,1)</f>
        <v/>
      </c>
      <c r="K92">
        <f>WEEKDAY(B92,2)</f>
        <v/>
      </c>
      <c r="L92">
        <f>NETWORKDAYS(B92,TODAY())</f>
        <v/>
      </c>
      <c r="M92">
        <f>IFERROR(DATEDIF(B92,TODAY(),"m"),0)</f>
        <v/>
      </c>
    </row>
    <row r="93">
      <c r="A93">
        <f>Sales!A93</f>
        <v/>
      </c>
      <c r="B93" s="2">
        <f>Sales!B93</f>
        <v/>
      </c>
      <c r="C93">
        <f>YEAR(B93)</f>
        <v/>
      </c>
      <c r="D93">
        <f>MONTH(B93)</f>
        <v/>
      </c>
      <c r="E93">
        <f>DAY(B93)</f>
        <v/>
      </c>
      <c r="F93">
        <f>WEEKNUM(B93)</f>
        <v/>
      </c>
      <c r="G93">
        <f>TEXT(B93,"mmm")</f>
        <v/>
      </c>
      <c r="H93">
        <f>TEXT(B93,"mmm-yy")</f>
        <v/>
      </c>
      <c r="I93" s="2">
        <f>EOMONTH(B93,0)</f>
        <v/>
      </c>
      <c r="J93" s="2">
        <f>EDATE(B93,1)</f>
        <v/>
      </c>
      <c r="K93">
        <f>WEEKDAY(B93,2)</f>
        <v/>
      </c>
      <c r="L93">
        <f>NETWORKDAYS(B93,TODAY())</f>
        <v/>
      </c>
      <c r="M93">
        <f>IFERROR(DATEDIF(B93,TODAY(),"m"),0)</f>
        <v/>
      </c>
    </row>
    <row r="94">
      <c r="A94">
        <f>Sales!A94</f>
        <v/>
      </c>
      <c r="B94" s="2">
        <f>Sales!B94</f>
        <v/>
      </c>
      <c r="C94">
        <f>YEAR(B94)</f>
        <v/>
      </c>
      <c r="D94">
        <f>MONTH(B94)</f>
        <v/>
      </c>
      <c r="E94">
        <f>DAY(B94)</f>
        <v/>
      </c>
      <c r="F94">
        <f>WEEKNUM(B94)</f>
        <v/>
      </c>
      <c r="G94">
        <f>TEXT(B94,"mmm")</f>
        <v/>
      </c>
      <c r="H94">
        <f>TEXT(B94,"mmm-yy")</f>
        <v/>
      </c>
      <c r="I94" s="2">
        <f>EOMONTH(B94,0)</f>
        <v/>
      </c>
      <c r="J94" s="2">
        <f>EDATE(B94,1)</f>
        <v/>
      </c>
      <c r="K94">
        <f>WEEKDAY(B94,2)</f>
        <v/>
      </c>
      <c r="L94">
        <f>NETWORKDAYS(B94,TODAY())</f>
        <v/>
      </c>
      <c r="M94">
        <f>IFERROR(DATEDIF(B94,TODAY(),"m"),0)</f>
        <v/>
      </c>
    </row>
    <row r="95">
      <c r="A95">
        <f>Sales!A95</f>
        <v/>
      </c>
      <c r="B95" s="2">
        <f>Sales!B95</f>
        <v/>
      </c>
      <c r="C95">
        <f>YEAR(B95)</f>
        <v/>
      </c>
      <c r="D95">
        <f>MONTH(B95)</f>
        <v/>
      </c>
      <c r="E95">
        <f>DAY(B95)</f>
        <v/>
      </c>
      <c r="F95">
        <f>WEEKNUM(B95)</f>
        <v/>
      </c>
      <c r="G95">
        <f>TEXT(B95,"mmm")</f>
        <v/>
      </c>
      <c r="H95">
        <f>TEXT(B95,"mmm-yy")</f>
        <v/>
      </c>
      <c r="I95" s="2">
        <f>EOMONTH(B95,0)</f>
        <v/>
      </c>
      <c r="J95" s="2">
        <f>EDATE(B95,1)</f>
        <v/>
      </c>
      <c r="K95">
        <f>WEEKDAY(B95,2)</f>
        <v/>
      </c>
      <c r="L95">
        <f>NETWORKDAYS(B95,TODAY())</f>
        <v/>
      </c>
      <c r="M95">
        <f>IFERROR(DATEDIF(B95,TODAY(),"m"),0)</f>
        <v/>
      </c>
    </row>
    <row r="96">
      <c r="A96">
        <f>Sales!A96</f>
        <v/>
      </c>
      <c r="B96" s="2">
        <f>Sales!B96</f>
        <v/>
      </c>
      <c r="C96">
        <f>YEAR(B96)</f>
        <v/>
      </c>
      <c r="D96">
        <f>MONTH(B96)</f>
        <v/>
      </c>
      <c r="E96">
        <f>DAY(B96)</f>
        <v/>
      </c>
      <c r="F96">
        <f>WEEKNUM(B96)</f>
        <v/>
      </c>
      <c r="G96">
        <f>TEXT(B96,"mmm")</f>
        <v/>
      </c>
      <c r="H96">
        <f>TEXT(B96,"mmm-yy")</f>
        <v/>
      </c>
      <c r="I96" s="2">
        <f>EOMONTH(B96,0)</f>
        <v/>
      </c>
      <c r="J96" s="2">
        <f>EDATE(B96,1)</f>
        <v/>
      </c>
      <c r="K96">
        <f>WEEKDAY(B96,2)</f>
        <v/>
      </c>
      <c r="L96">
        <f>NETWORKDAYS(B96,TODAY())</f>
        <v/>
      </c>
      <c r="M96">
        <f>IFERROR(DATEDIF(B96,TODAY(),"m"),0)</f>
        <v/>
      </c>
    </row>
    <row r="97">
      <c r="A97">
        <f>Sales!A97</f>
        <v/>
      </c>
      <c r="B97" s="2">
        <f>Sales!B97</f>
        <v/>
      </c>
      <c r="C97">
        <f>YEAR(B97)</f>
        <v/>
      </c>
      <c r="D97">
        <f>MONTH(B97)</f>
        <v/>
      </c>
      <c r="E97">
        <f>DAY(B97)</f>
        <v/>
      </c>
      <c r="F97">
        <f>WEEKNUM(B97)</f>
        <v/>
      </c>
      <c r="G97">
        <f>TEXT(B97,"mmm")</f>
        <v/>
      </c>
      <c r="H97">
        <f>TEXT(B97,"mmm-yy")</f>
        <v/>
      </c>
      <c r="I97" s="2">
        <f>EOMONTH(B97,0)</f>
        <v/>
      </c>
      <c r="J97" s="2">
        <f>EDATE(B97,1)</f>
        <v/>
      </c>
      <c r="K97">
        <f>WEEKDAY(B97,2)</f>
        <v/>
      </c>
      <c r="L97">
        <f>NETWORKDAYS(B97,TODAY())</f>
        <v/>
      </c>
      <c r="M97">
        <f>IFERROR(DATEDIF(B97,TODAY(),"m"),0)</f>
        <v/>
      </c>
    </row>
    <row r="98">
      <c r="A98">
        <f>Sales!A98</f>
        <v/>
      </c>
      <c r="B98" s="2">
        <f>Sales!B98</f>
        <v/>
      </c>
      <c r="C98">
        <f>YEAR(B98)</f>
        <v/>
      </c>
      <c r="D98">
        <f>MONTH(B98)</f>
        <v/>
      </c>
      <c r="E98">
        <f>DAY(B98)</f>
        <v/>
      </c>
      <c r="F98">
        <f>WEEKNUM(B98)</f>
        <v/>
      </c>
      <c r="G98">
        <f>TEXT(B98,"mmm")</f>
        <v/>
      </c>
      <c r="H98">
        <f>TEXT(B98,"mmm-yy")</f>
        <v/>
      </c>
      <c r="I98" s="2">
        <f>EOMONTH(B98,0)</f>
        <v/>
      </c>
      <c r="J98" s="2">
        <f>EDATE(B98,1)</f>
        <v/>
      </c>
      <c r="K98">
        <f>WEEKDAY(B98,2)</f>
        <v/>
      </c>
      <c r="L98">
        <f>NETWORKDAYS(B98,TODAY())</f>
        <v/>
      </c>
      <c r="M98">
        <f>IFERROR(DATEDIF(B98,TODAY(),"m"),0)</f>
        <v/>
      </c>
    </row>
    <row r="99">
      <c r="A99">
        <f>Sales!A99</f>
        <v/>
      </c>
      <c r="B99" s="2">
        <f>Sales!B99</f>
        <v/>
      </c>
      <c r="C99">
        <f>YEAR(B99)</f>
        <v/>
      </c>
      <c r="D99">
        <f>MONTH(B99)</f>
        <v/>
      </c>
      <c r="E99">
        <f>DAY(B99)</f>
        <v/>
      </c>
      <c r="F99">
        <f>WEEKNUM(B99)</f>
        <v/>
      </c>
      <c r="G99">
        <f>TEXT(B99,"mmm")</f>
        <v/>
      </c>
      <c r="H99">
        <f>TEXT(B99,"mmm-yy")</f>
        <v/>
      </c>
      <c r="I99" s="2">
        <f>EOMONTH(B99,0)</f>
        <v/>
      </c>
      <c r="J99" s="2">
        <f>EDATE(B99,1)</f>
        <v/>
      </c>
      <c r="K99">
        <f>WEEKDAY(B99,2)</f>
        <v/>
      </c>
      <c r="L99">
        <f>NETWORKDAYS(B99,TODAY())</f>
        <v/>
      </c>
      <c r="M99">
        <f>IFERROR(DATEDIF(B99,TODAY(),"m"),0)</f>
        <v/>
      </c>
    </row>
    <row r="100">
      <c r="A100">
        <f>Sales!A100</f>
        <v/>
      </c>
      <c r="B100" s="2">
        <f>Sales!B100</f>
        <v/>
      </c>
      <c r="C100">
        <f>YEAR(B100)</f>
        <v/>
      </c>
      <c r="D100">
        <f>MONTH(B100)</f>
        <v/>
      </c>
      <c r="E100">
        <f>DAY(B100)</f>
        <v/>
      </c>
      <c r="F100">
        <f>WEEKNUM(B100)</f>
        <v/>
      </c>
      <c r="G100">
        <f>TEXT(B100,"mmm")</f>
        <v/>
      </c>
      <c r="H100">
        <f>TEXT(B100,"mmm-yy")</f>
        <v/>
      </c>
      <c r="I100" s="2">
        <f>EOMONTH(B100,0)</f>
        <v/>
      </c>
      <c r="J100" s="2">
        <f>EDATE(B100,1)</f>
        <v/>
      </c>
      <c r="K100">
        <f>WEEKDAY(B100,2)</f>
        <v/>
      </c>
      <c r="L100">
        <f>NETWORKDAYS(B100,TODAY())</f>
        <v/>
      </c>
      <c r="M100">
        <f>IFERROR(DATEDIF(B100,TODAY(),"m"),0)</f>
        <v/>
      </c>
    </row>
    <row r="101">
      <c r="A101">
        <f>Sales!A101</f>
        <v/>
      </c>
      <c r="B101" s="2">
        <f>Sales!B101</f>
        <v/>
      </c>
      <c r="C101">
        <f>YEAR(B101)</f>
        <v/>
      </c>
      <c r="D101">
        <f>MONTH(B101)</f>
        <v/>
      </c>
      <c r="E101">
        <f>DAY(B101)</f>
        <v/>
      </c>
      <c r="F101">
        <f>WEEKNUM(B101)</f>
        <v/>
      </c>
      <c r="G101">
        <f>TEXT(B101,"mmm")</f>
        <v/>
      </c>
      <c r="H101">
        <f>TEXT(B101,"mmm-yy")</f>
        <v/>
      </c>
      <c r="I101" s="2">
        <f>EOMONTH(B101,0)</f>
        <v/>
      </c>
      <c r="J101" s="2">
        <f>EDATE(B101,1)</f>
        <v/>
      </c>
      <c r="K101">
        <f>WEEKDAY(B101,2)</f>
        <v/>
      </c>
      <c r="L101">
        <f>NETWORKDAYS(B101,TODAY())</f>
        <v/>
      </c>
      <c r="M101">
        <f>IFERROR(DATEDIF(B101,TODAY(),"m"),0)</f>
        <v/>
      </c>
    </row>
    <row r="102">
      <c r="A102">
        <f>Sales!A102</f>
        <v/>
      </c>
      <c r="B102" s="2">
        <f>Sales!B102</f>
        <v/>
      </c>
      <c r="C102">
        <f>YEAR(B102)</f>
        <v/>
      </c>
      <c r="D102">
        <f>MONTH(B102)</f>
        <v/>
      </c>
      <c r="E102">
        <f>DAY(B102)</f>
        <v/>
      </c>
      <c r="F102">
        <f>WEEKNUM(B102)</f>
        <v/>
      </c>
      <c r="G102">
        <f>TEXT(B102,"mmm")</f>
        <v/>
      </c>
      <c r="H102">
        <f>TEXT(B102,"mmm-yy")</f>
        <v/>
      </c>
      <c r="I102" s="2">
        <f>EOMONTH(B102,0)</f>
        <v/>
      </c>
      <c r="J102" s="2">
        <f>EDATE(B102,1)</f>
        <v/>
      </c>
      <c r="K102">
        <f>WEEKDAY(B102,2)</f>
        <v/>
      </c>
      <c r="L102">
        <f>NETWORKDAYS(B102,TODAY())</f>
        <v/>
      </c>
      <c r="M102">
        <f>IFERROR(DATEDIF(B102,TODAY(),"m"),0)</f>
        <v/>
      </c>
    </row>
    <row r="103">
      <c r="A103">
        <f>Sales!A103</f>
        <v/>
      </c>
      <c r="B103" s="2">
        <f>Sales!B103</f>
        <v/>
      </c>
      <c r="C103">
        <f>YEAR(B103)</f>
        <v/>
      </c>
      <c r="D103">
        <f>MONTH(B103)</f>
        <v/>
      </c>
      <c r="E103">
        <f>DAY(B103)</f>
        <v/>
      </c>
      <c r="F103">
        <f>WEEKNUM(B103)</f>
        <v/>
      </c>
      <c r="G103">
        <f>TEXT(B103,"mmm")</f>
        <v/>
      </c>
      <c r="H103">
        <f>TEXT(B103,"mmm-yy")</f>
        <v/>
      </c>
      <c r="I103" s="2">
        <f>EOMONTH(B103,0)</f>
        <v/>
      </c>
      <c r="J103" s="2">
        <f>EDATE(B103,1)</f>
        <v/>
      </c>
      <c r="K103">
        <f>WEEKDAY(B103,2)</f>
        <v/>
      </c>
      <c r="L103">
        <f>NETWORKDAYS(B103,TODAY())</f>
        <v/>
      </c>
      <c r="M103">
        <f>IFERROR(DATEDIF(B103,TODAY(),"m"),0)</f>
        <v/>
      </c>
    </row>
    <row r="104">
      <c r="A104">
        <f>Sales!A104</f>
        <v/>
      </c>
      <c r="B104" s="2">
        <f>Sales!B104</f>
        <v/>
      </c>
      <c r="C104">
        <f>YEAR(B104)</f>
        <v/>
      </c>
      <c r="D104">
        <f>MONTH(B104)</f>
        <v/>
      </c>
      <c r="E104">
        <f>DAY(B104)</f>
        <v/>
      </c>
      <c r="F104">
        <f>WEEKNUM(B104)</f>
        <v/>
      </c>
      <c r="G104">
        <f>TEXT(B104,"mmm")</f>
        <v/>
      </c>
      <c r="H104">
        <f>TEXT(B104,"mmm-yy")</f>
        <v/>
      </c>
      <c r="I104" s="2">
        <f>EOMONTH(B104,0)</f>
        <v/>
      </c>
      <c r="J104" s="2">
        <f>EDATE(B104,1)</f>
        <v/>
      </c>
      <c r="K104">
        <f>WEEKDAY(B104,2)</f>
        <v/>
      </c>
      <c r="L104">
        <f>NETWORKDAYS(B104,TODAY())</f>
        <v/>
      </c>
      <c r="M104">
        <f>IFERROR(DATEDIF(B104,TODAY(),"m"),0)</f>
        <v/>
      </c>
    </row>
    <row r="105">
      <c r="A105">
        <f>Sales!A105</f>
        <v/>
      </c>
      <c r="B105" s="2">
        <f>Sales!B105</f>
        <v/>
      </c>
      <c r="C105">
        <f>YEAR(B105)</f>
        <v/>
      </c>
      <c r="D105">
        <f>MONTH(B105)</f>
        <v/>
      </c>
      <c r="E105">
        <f>DAY(B105)</f>
        <v/>
      </c>
      <c r="F105">
        <f>WEEKNUM(B105)</f>
        <v/>
      </c>
      <c r="G105">
        <f>TEXT(B105,"mmm")</f>
        <v/>
      </c>
      <c r="H105">
        <f>TEXT(B105,"mmm-yy")</f>
        <v/>
      </c>
      <c r="I105" s="2">
        <f>EOMONTH(B105,0)</f>
        <v/>
      </c>
      <c r="J105" s="2">
        <f>EDATE(B105,1)</f>
        <v/>
      </c>
      <c r="K105">
        <f>WEEKDAY(B105,2)</f>
        <v/>
      </c>
      <c r="L105">
        <f>NETWORKDAYS(B105,TODAY())</f>
        <v/>
      </c>
      <c r="M105">
        <f>IFERROR(DATEDIF(B105,TODAY(),"m"),0)</f>
        <v/>
      </c>
    </row>
    <row r="106">
      <c r="A106">
        <f>Sales!A106</f>
        <v/>
      </c>
      <c r="B106" s="2">
        <f>Sales!B106</f>
        <v/>
      </c>
      <c r="C106">
        <f>YEAR(B106)</f>
        <v/>
      </c>
      <c r="D106">
        <f>MONTH(B106)</f>
        <v/>
      </c>
      <c r="E106">
        <f>DAY(B106)</f>
        <v/>
      </c>
      <c r="F106">
        <f>WEEKNUM(B106)</f>
        <v/>
      </c>
      <c r="G106">
        <f>TEXT(B106,"mmm")</f>
        <v/>
      </c>
      <c r="H106">
        <f>TEXT(B106,"mmm-yy")</f>
        <v/>
      </c>
      <c r="I106" s="2">
        <f>EOMONTH(B106,0)</f>
        <v/>
      </c>
      <c r="J106" s="2">
        <f>EDATE(B106,1)</f>
        <v/>
      </c>
      <c r="K106">
        <f>WEEKDAY(B106,2)</f>
        <v/>
      </c>
      <c r="L106">
        <f>NETWORKDAYS(B106,TODAY())</f>
        <v/>
      </c>
      <c r="M106">
        <f>IFERROR(DATEDIF(B106,TODAY(),"m"),0)</f>
        <v/>
      </c>
    </row>
    <row r="107">
      <c r="A107">
        <f>Sales!A107</f>
        <v/>
      </c>
      <c r="B107" s="2">
        <f>Sales!B107</f>
        <v/>
      </c>
      <c r="C107">
        <f>YEAR(B107)</f>
        <v/>
      </c>
      <c r="D107">
        <f>MONTH(B107)</f>
        <v/>
      </c>
      <c r="E107">
        <f>DAY(B107)</f>
        <v/>
      </c>
      <c r="F107">
        <f>WEEKNUM(B107)</f>
        <v/>
      </c>
      <c r="G107">
        <f>TEXT(B107,"mmm")</f>
        <v/>
      </c>
      <c r="H107">
        <f>TEXT(B107,"mmm-yy")</f>
        <v/>
      </c>
      <c r="I107" s="2">
        <f>EOMONTH(B107,0)</f>
        <v/>
      </c>
      <c r="J107" s="2">
        <f>EDATE(B107,1)</f>
        <v/>
      </c>
      <c r="K107">
        <f>WEEKDAY(B107,2)</f>
        <v/>
      </c>
      <c r="L107">
        <f>NETWORKDAYS(B107,TODAY())</f>
        <v/>
      </c>
      <c r="M107">
        <f>IFERROR(DATEDIF(B107,TODAY(),"m"),0)</f>
        <v/>
      </c>
    </row>
    <row r="108">
      <c r="A108">
        <f>Sales!A108</f>
        <v/>
      </c>
      <c r="B108" s="2">
        <f>Sales!B108</f>
        <v/>
      </c>
      <c r="C108">
        <f>YEAR(B108)</f>
        <v/>
      </c>
      <c r="D108">
        <f>MONTH(B108)</f>
        <v/>
      </c>
      <c r="E108">
        <f>DAY(B108)</f>
        <v/>
      </c>
      <c r="F108">
        <f>WEEKNUM(B108)</f>
        <v/>
      </c>
      <c r="G108">
        <f>TEXT(B108,"mmm")</f>
        <v/>
      </c>
      <c r="H108">
        <f>TEXT(B108,"mmm-yy")</f>
        <v/>
      </c>
      <c r="I108" s="2">
        <f>EOMONTH(B108,0)</f>
        <v/>
      </c>
      <c r="J108" s="2">
        <f>EDATE(B108,1)</f>
        <v/>
      </c>
      <c r="K108">
        <f>WEEKDAY(B108,2)</f>
        <v/>
      </c>
      <c r="L108">
        <f>NETWORKDAYS(B108,TODAY())</f>
        <v/>
      </c>
      <c r="M108">
        <f>IFERROR(DATEDIF(B108,TODAY(),"m"),0)</f>
        <v/>
      </c>
    </row>
    <row r="109">
      <c r="A109">
        <f>Sales!A109</f>
        <v/>
      </c>
      <c r="B109" s="2">
        <f>Sales!B109</f>
        <v/>
      </c>
      <c r="C109">
        <f>YEAR(B109)</f>
        <v/>
      </c>
      <c r="D109">
        <f>MONTH(B109)</f>
        <v/>
      </c>
      <c r="E109">
        <f>DAY(B109)</f>
        <v/>
      </c>
      <c r="F109">
        <f>WEEKNUM(B109)</f>
        <v/>
      </c>
      <c r="G109">
        <f>TEXT(B109,"mmm")</f>
        <v/>
      </c>
      <c r="H109">
        <f>TEXT(B109,"mmm-yy")</f>
        <v/>
      </c>
      <c r="I109" s="2">
        <f>EOMONTH(B109,0)</f>
        <v/>
      </c>
      <c r="J109" s="2">
        <f>EDATE(B109,1)</f>
        <v/>
      </c>
      <c r="K109">
        <f>WEEKDAY(B109,2)</f>
        <v/>
      </c>
      <c r="L109">
        <f>NETWORKDAYS(B109,TODAY())</f>
        <v/>
      </c>
      <c r="M109">
        <f>IFERROR(DATEDIF(B109,TODAY(),"m"),0)</f>
        <v/>
      </c>
    </row>
    <row r="110">
      <c r="A110">
        <f>Sales!A110</f>
        <v/>
      </c>
      <c r="B110" s="2">
        <f>Sales!B110</f>
        <v/>
      </c>
      <c r="C110">
        <f>YEAR(B110)</f>
        <v/>
      </c>
      <c r="D110">
        <f>MONTH(B110)</f>
        <v/>
      </c>
      <c r="E110">
        <f>DAY(B110)</f>
        <v/>
      </c>
      <c r="F110">
        <f>WEEKNUM(B110)</f>
        <v/>
      </c>
      <c r="G110">
        <f>TEXT(B110,"mmm")</f>
        <v/>
      </c>
      <c r="H110">
        <f>TEXT(B110,"mmm-yy")</f>
        <v/>
      </c>
      <c r="I110" s="2">
        <f>EOMONTH(B110,0)</f>
        <v/>
      </c>
      <c r="J110" s="2">
        <f>EDATE(B110,1)</f>
        <v/>
      </c>
      <c r="K110">
        <f>WEEKDAY(B110,2)</f>
        <v/>
      </c>
      <c r="L110">
        <f>NETWORKDAYS(B110,TODAY())</f>
        <v/>
      </c>
      <c r="M110">
        <f>IFERROR(DATEDIF(B110,TODAY(),"m"),0)</f>
        <v/>
      </c>
    </row>
    <row r="111">
      <c r="A111">
        <f>Sales!A111</f>
        <v/>
      </c>
      <c r="B111" s="2">
        <f>Sales!B111</f>
        <v/>
      </c>
      <c r="C111">
        <f>YEAR(B111)</f>
        <v/>
      </c>
      <c r="D111">
        <f>MONTH(B111)</f>
        <v/>
      </c>
      <c r="E111">
        <f>DAY(B111)</f>
        <v/>
      </c>
      <c r="F111">
        <f>WEEKNUM(B111)</f>
        <v/>
      </c>
      <c r="G111">
        <f>TEXT(B111,"mmm")</f>
        <v/>
      </c>
      <c r="H111">
        <f>TEXT(B111,"mmm-yy")</f>
        <v/>
      </c>
      <c r="I111" s="2">
        <f>EOMONTH(B111,0)</f>
        <v/>
      </c>
      <c r="J111" s="2">
        <f>EDATE(B111,1)</f>
        <v/>
      </c>
      <c r="K111">
        <f>WEEKDAY(B111,2)</f>
        <v/>
      </c>
      <c r="L111">
        <f>NETWORKDAYS(B111,TODAY())</f>
        <v/>
      </c>
      <c r="M111">
        <f>IFERROR(DATEDIF(B111,TODAY(),"m"),0)</f>
        <v/>
      </c>
    </row>
    <row r="112">
      <c r="A112">
        <f>Sales!A112</f>
        <v/>
      </c>
      <c r="B112" s="2">
        <f>Sales!B112</f>
        <v/>
      </c>
      <c r="C112">
        <f>YEAR(B112)</f>
        <v/>
      </c>
      <c r="D112">
        <f>MONTH(B112)</f>
        <v/>
      </c>
      <c r="E112">
        <f>DAY(B112)</f>
        <v/>
      </c>
      <c r="F112">
        <f>WEEKNUM(B112)</f>
        <v/>
      </c>
      <c r="G112">
        <f>TEXT(B112,"mmm")</f>
        <v/>
      </c>
      <c r="H112">
        <f>TEXT(B112,"mmm-yy")</f>
        <v/>
      </c>
      <c r="I112" s="2">
        <f>EOMONTH(B112,0)</f>
        <v/>
      </c>
      <c r="J112" s="2">
        <f>EDATE(B112,1)</f>
        <v/>
      </c>
      <c r="K112">
        <f>WEEKDAY(B112,2)</f>
        <v/>
      </c>
      <c r="L112">
        <f>NETWORKDAYS(B112,TODAY())</f>
        <v/>
      </c>
      <c r="M112">
        <f>IFERROR(DATEDIF(B112,TODAY(),"m"),0)</f>
        <v/>
      </c>
    </row>
    <row r="113">
      <c r="A113">
        <f>Sales!A113</f>
        <v/>
      </c>
      <c r="B113" s="2">
        <f>Sales!B113</f>
        <v/>
      </c>
      <c r="C113">
        <f>YEAR(B113)</f>
        <v/>
      </c>
      <c r="D113">
        <f>MONTH(B113)</f>
        <v/>
      </c>
      <c r="E113">
        <f>DAY(B113)</f>
        <v/>
      </c>
      <c r="F113">
        <f>WEEKNUM(B113)</f>
        <v/>
      </c>
      <c r="G113">
        <f>TEXT(B113,"mmm")</f>
        <v/>
      </c>
      <c r="H113">
        <f>TEXT(B113,"mmm-yy")</f>
        <v/>
      </c>
      <c r="I113" s="2">
        <f>EOMONTH(B113,0)</f>
        <v/>
      </c>
      <c r="J113" s="2">
        <f>EDATE(B113,1)</f>
        <v/>
      </c>
      <c r="K113">
        <f>WEEKDAY(B113,2)</f>
        <v/>
      </c>
      <c r="L113">
        <f>NETWORKDAYS(B113,TODAY())</f>
        <v/>
      </c>
      <c r="M113">
        <f>IFERROR(DATEDIF(B113,TODAY(),"m"),0)</f>
        <v/>
      </c>
    </row>
    <row r="114">
      <c r="A114">
        <f>Sales!A114</f>
        <v/>
      </c>
      <c r="B114" s="2">
        <f>Sales!B114</f>
        <v/>
      </c>
      <c r="C114">
        <f>YEAR(B114)</f>
        <v/>
      </c>
      <c r="D114">
        <f>MONTH(B114)</f>
        <v/>
      </c>
      <c r="E114">
        <f>DAY(B114)</f>
        <v/>
      </c>
      <c r="F114">
        <f>WEEKNUM(B114)</f>
        <v/>
      </c>
      <c r="G114">
        <f>TEXT(B114,"mmm")</f>
        <v/>
      </c>
      <c r="H114">
        <f>TEXT(B114,"mmm-yy")</f>
        <v/>
      </c>
      <c r="I114" s="2">
        <f>EOMONTH(B114,0)</f>
        <v/>
      </c>
      <c r="J114" s="2">
        <f>EDATE(B114,1)</f>
        <v/>
      </c>
      <c r="K114">
        <f>WEEKDAY(B114,2)</f>
        <v/>
      </c>
      <c r="L114">
        <f>NETWORKDAYS(B114,TODAY())</f>
        <v/>
      </c>
      <c r="M114">
        <f>IFERROR(DATEDIF(B114,TODAY(),"m"),0)</f>
        <v/>
      </c>
    </row>
    <row r="115">
      <c r="A115">
        <f>Sales!A115</f>
        <v/>
      </c>
      <c r="B115" s="2">
        <f>Sales!B115</f>
        <v/>
      </c>
      <c r="C115">
        <f>YEAR(B115)</f>
        <v/>
      </c>
      <c r="D115">
        <f>MONTH(B115)</f>
        <v/>
      </c>
      <c r="E115">
        <f>DAY(B115)</f>
        <v/>
      </c>
      <c r="F115">
        <f>WEEKNUM(B115)</f>
        <v/>
      </c>
      <c r="G115">
        <f>TEXT(B115,"mmm")</f>
        <v/>
      </c>
      <c r="H115">
        <f>TEXT(B115,"mmm-yy")</f>
        <v/>
      </c>
      <c r="I115" s="2">
        <f>EOMONTH(B115,0)</f>
        <v/>
      </c>
      <c r="J115" s="2">
        <f>EDATE(B115,1)</f>
        <v/>
      </c>
      <c r="K115">
        <f>WEEKDAY(B115,2)</f>
        <v/>
      </c>
      <c r="L115">
        <f>NETWORKDAYS(B115,TODAY())</f>
        <v/>
      </c>
      <c r="M115">
        <f>IFERROR(DATEDIF(B115,TODAY(),"m"),0)</f>
        <v/>
      </c>
    </row>
    <row r="116">
      <c r="A116">
        <f>Sales!A116</f>
        <v/>
      </c>
      <c r="B116" s="2">
        <f>Sales!B116</f>
        <v/>
      </c>
      <c r="C116">
        <f>YEAR(B116)</f>
        <v/>
      </c>
      <c r="D116">
        <f>MONTH(B116)</f>
        <v/>
      </c>
      <c r="E116">
        <f>DAY(B116)</f>
        <v/>
      </c>
      <c r="F116">
        <f>WEEKNUM(B116)</f>
        <v/>
      </c>
      <c r="G116">
        <f>TEXT(B116,"mmm")</f>
        <v/>
      </c>
      <c r="H116">
        <f>TEXT(B116,"mmm-yy")</f>
        <v/>
      </c>
      <c r="I116" s="2">
        <f>EOMONTH(B116,0)</f>
        <v/>
      </c>
      <c r="J116" s="2">
        <f>EDATE(B116,1)</f>
        <v/>
      </c>
      <c r="K116">
        <f>WEEKDAY(B116,2)</f>
        <v/>
      </c>
      <c r="L116">
        <f>NETWORKDAYS(B116,TODAY())</f>
        <v/>
      </c>
      <c r="M116">
        <f>IFERROR(DATEDIF(B116,TODAY(),"m"),0)</f>
        <v/>
      </c>
    </row>
    <row r="117">
      <c r="A117">
        <f>Sales!A117</f>
        <v/>
      </c>
      <c r="B117" s="2">
        <f>Sales!B117</f>
        <v/>
      </c>
      <c r="C117">
        <f>YEAR(B117)</f>
        <v/>
      </c>
      <c r="D117">
        <f>MONTH(B117)</f>
        <v/>
      </c>
      <c r="E117">
        <f>DAY(B117)</f>
        <v/>
      </c>
      <c r="F117">
        <f>WEEKNUM(B117)</f>
        <v/>
      </c>
      <c r="G117">
        <f>TEXT(B117,"mmm")</f>
        <v/>
      </c>
      <c r="H117">
        <f>TEXT(B117,"mmm-yy")</f>
        <v/>
      </c>
      <c r="I117" s="2">
        <f>EOMONTH(B117,0)</f>
        <v/>
      </c>
      <c r="J117" s="2">
        <f>EDATE(B117,1)</f>
        <v/>
      </c>
      <c r="K117">
        <f>WEEKDAY(B117,2)</f>
        <v/>
      </c>
      <c r="L117">
        <f>NETWORKDAYS(B117,TODAY())</f>
        <v/>
      </c>
      <c r="M117">
        <f>IFERROR(DATEDIF(B117,TODAY(),"m"),0)</f>
        <v/>
      </c>
    </row>
    <row r="118">
      <c r="A118">
        <f>Sales!A118</f>
        <v/>
      </c>
      <c r="B118" s="2">
        <f>Sales!B118</f>
        <v/>
      </c>
      <c r="C118">
        <f>YEAR(B118)</f>
        <v/>
      </c>
      <c r="D118">
        <f>MONTH(B118)</f>
        <v/>
      </c>
      <c r="E118">
        <f>DAY(B118)</f>
        <v/>
      </c>
      <c r="F118">
        <f>WEEKNUM(B118)</f>
        <v/>
      </c>
      <c r="G118">
        <f>TEXT(B118,"mmm")</f>
        <v/>
      </c>
      <c r="H118">
        <f>TEXT(B118,"mmm-yy")</f>
        <v/>
      </c>
      <c r="I118" s="2">
        <f>EOMONTH(B118,0)</f>
        <v/>
      </c>
      <c r="J118" s="2">
        <f>EDATE(B118,1)</f>
        <v/>
      </c>
      <c r="K118">
        <f>WEEKDAY(B118,2)</f>
        <v/>
      </c>
      <c r="L118">
        <f>NETWORKDAYS(B118,TODAY())</f>
        <v/>
      </c>
      <c r="M118">
        <f>IFERROR(DATEDIF(B118,TODAY(),"m"),0)</f>
        <v/>
      </c>
    </row>
    <row r="119">
      <c r="A119">
        <f>Sales!A119</f>
        <v/>
      </c>
      <c r="B119" s="2">
        <f>Sales!B119</f>
        <v/>
      </c>
      <c r="C119">
        <f>YEAR(B119)</f>
        <v/>
      </c>
      <c r="D119">
        <f>MONTH(B119)</f>
        <v/>
      </c>
      <c r="E119">
        <f>DAY(B119)</f>
        <v/>
      </c>
      <c r="F119">
        <f>WEEKNUM(B119)</f>
        <v/>
      </c>
      <c r="G119">
        <f>TEXT(B119,"mmm")</f>
        <v/>
      </c>
      <c r="H119">
        <f>TEXT(B119,"mmm-yy")</f>
        <v/>
      </c>
      <c r="I119" s="2">
        <f>EOMONTH(B119,0)</f>
        <v/>
      </c>
      <c r="J119" s="2">
        <f>EDATE(B119,1)</f>
        <v/>
      </c>
      <c r="K119">
        <f>WEEKDAY(B119,2)</f>
        <v/>
      </c>
      <c r="L119">
        <f>NETWORKDAYS(B119,TODAY())</f>
        <v/>
      </c>
      <c r="M119">
        <f>IFERROR(DATEDIF(B119,TODAY(),"m"),0)</f>
        <v/>
      </c>
    </row>
    <row r="120">
      <c r="A120">
        <f>Sales!A120</f>
        <v/>
      </c>
      <c r="B120" s="2">
        <f>Sales!B120</f>
        <v/>
      </c>
      <c r="C120">
        <f>YEAR(B120)</f>
        <v/>
      </c>
      <c r="D120">
        <f>MONTH(B120)</f>
        <v/>
      </c>
      <c r="E120">
        <f>DAY(B120)</f>
        <v/>
      </c>
      <c r="F120">
        <f>WEEKNUM(B120)</f>
        <v/>
      </c>
      <c r="G120">
        <f>TEXT(B120,"mmm")</f>
        <v/>
      </c>
      <c r="H120">
        <f>TEXT(B120,"mmm-yy")</f>
        <v/>
      </c>
      <c r="I120" s="2">
        <f>EOMONTH(B120,0)</f>
        <v/>
      </c>
      <c r="J120" s="2">
        <f>EDATE(B120,1)</f>
        <v/>
      </c>
      <c r="K120">
        <f>WEEKDAY(B120,2)</f>
        <v/>
      </c>
      <c r="L120">
        <f>NETWORKDAYS(B120,TODAY())</f>
        <v/>
      </c>
      <c r="M120">
        <f>IFERROR(DATEDIF(B120,TODAY(),"m"),0)</f>
        <v/>
      </c>
    </row>
    <row r="121">
      <c r="A121">
        <f>Sales!A121</f>
        <v/>
      </c>
      <c r="B121" s="2">
        <f>Sales!B121</f>
        <v/>
      </c>
      <c r="C121">
        <f>YEAR(B121)</f>
        <v/>
      </c>
      <c r="D121">
        <f>MONTH(B121)</f>
        <v/>
      </c>
      <c r="E121">
        <f>DAY(B121)</f>
        <v/>
      </c>
      <c r="F121">
        <f>WEEKNUM(B121)</f>
        <v/>
      </c>
      <c r="G121">
        <f>TEXT(B121,"mmm")</f>
        <v/>
      </c>
      <c r="H121">
        <f>TEXT(B121,"mmm-yy")</f>
        <v/>
      </c>
      <c r="I121" s="2">
        <f>EOMONTH(B121,0)</f>
        <v/>
      </c>
      <c r="J121" s="2">
        <f>EDATE(B121,1)</f>
        <v/>
      </c>
      <c r="K121">
        <f>WEEKDAY(B121,2)</f>
        <v/>
      </c>
      <c r="L121">
        <f>NETWORKDAYS(B121,TODAY())</f>
        <v/>
      </c>
      <c r="M121">
        <f>IFERROR(DATEDIF(B121,TODAY(),"m"),0)</f>
        <v/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62" customWidth="1" min="3" max="3"/>
  </cols>
  <sheetData>
    <row r="1">
      <c r="A1" s="5" t="inlineStr">
        <is>
          <t>Text Formula Examples</t>
        </is>
      </c>
    </row>
    <row r="2">
      <c r="A2" s="6" t="inlineStr">
        <is>
          <t>Formula</t>
        </is>
      </c>
      <c r="B2" s="6" t="inlineStr">
        <is>
          <t>Meaning</t>
        </is>
      </c>
      <c r="C2" s="6" t="inlineStr">
        <is>
          <t>Row 2 Result</t>
        </is>
      </c>
    </row>
    <row r="3">
      <c r="A3" t="inlineStr">
        <is>
          <t>=UPPER(Sales!D2)</t>
        </is>
      </c>
      <c r="B3" t="inlineStr">
        <is>
          <t>Converts the salesperson name to uppercase.</t>
        </is>
      </c>
      <c r="C3">
        <f>UPPER(Sales!D2)</f>
        <v/>
      </c>
    </row>
    <row r="4">
      <c r="A4" t="inlineStr">
        <is>
          <t>=LOWER(Sales!D2)</t>
        </is>
      </c>
      <c r="B4" t="inlineStr">
        <is>
          <t>Converts the salesperson name to lowercase.</t>
        </is>
      </c>
      <c r="C4">
        <f>LOWER(Sales!D2)</f>
        <v/>
      </c>
    </row>
    <row r="5">
      <c r="A5" t="inlineStr">
        <is>
          <t>=PROPER(Sales!D2)</t>
        </is>
      </c>
      <c r="B5" t="inlineStr">
        <is>
          <t>Capitalizes each word in the salesperson name.</t>
        </is>
      </c>
      <c r="C5">
        <f>PROPER(Sales!D2)</f>
        <v/>
      </c>
    </row>
    <row r="6">
      <c r="A6" t="inlineStr">
        <is>
          <t>=LEFT(Sales!A2,3)</t>
        </is>
      </c>
      <c r="B6" t="inlineStr">
        <is>
          <t>Returns the first three OrderID characters.</t>
        </is>
      </c>
      <c r="C6">
        <f>LEFT(Sales!A2,3)</f>
        <v/>
      </c>
    </row>
    <row r="7">
      <c r="A7" t="inlineStr">
        <is>
          <t>=RIGHT(Sales!A2,4)</t>
        </is>
      </c>
      <c r="B7" t="inlineStr">
        <is>
          <t>Returns the last four OrderID characters.</t>
        </is>
      </c>
      <c r="C7">
        <f>RIGHT(Sales!A2,4)</f>
        <v/>
      </c>
    </row>
    <row r="8">
      <c r="A8" t="inlineStr">
        <is>
          <t>=MID(Sales!A2,5,4)</t>
        </is>
      </c>
      <c r="B8" t="inlineStr">
        <is>
          <t>Extracts four characters starting at position five.</t>
        </is>
      </c>
      <c r="C8">
        <f>MID(Sales!A2,5,4)</f>
        <v/>
      </c>
    </row>
    <row r="9">
      <c r="A9" t="inlineStr">
        <is>
          <t>=LEN(Sales!G2)</t>
        </is>
      </c>
      <c r="B9" t="inlineStr">
        <is>
          <t>Counts characters in the product name.</t>
        </is>
      </c>
      <c r="C9">
        <f>LEN(Sales!G2)</f>
        <v/>
      </c>
    </row>
    <row r="10">
      <c r="A10" t="inlineStr">
        <is>
          <t>=TRIM(Sales!G2)</t>
        </is>
      </c>
      <c r="B10" t="inlineStr">
        <is>
          <t>Removes extra spaces from the product name.</t>
        </is>
      </c>
      <c r="C10">
        <f>TRIM(Sales!G2)</f>
        <v/>
      </c>
    </row>
    <row r="11">
      <c r="A11" t="inlineStr">
        <is>
          <t>=CONCAT(Sales!C2,"-",Sales!D2)</t>
        </is>
      </c>
      <c r="B11" t="inlineStr">
        <is>
          <t>Combines Region and Salesperson.</t>
        </is>
      </c>
      <c r="C11">
        <f>Sales!C2&amp;"-"&amp;Sales!D2</f>
        <v/>
      </c>
    </row>
    <row r="12">
      <c r="A12" t="inlineStr">
        <is>
          <t>=TEXTJOIN("-",TRUE,Sales!C2,Sales!E2)</t>
        </is>
      </c>
      <c r="B12" t="inlineStr">
        <is>
          <t>Combines Region and Channel.</t>
        </is>
      </c>
      <c r="C12">
        <f>Sales!C2&amp;"-"&amp;Sales!E2</f>
        <v/>
      </c>
    </row>
    <row r="13">
      <c r="A13" t="inlineStr">
        <is>
          <t>=SUBSTITUTE(Sales!A2,"ORD-","")</t>
        </is>
      </c>
      <c r="B13" t="inlineStr">
        <is>
          <t>Removes the ORD- prefix.</t>
        </is>
      </c>
      <c r="C13">
        <f>SUBSTITUTE(Sales!A2,"ORD-","")</f>
        <v/>
      </c>
    </row>
    <row r="14">
      <c r="A14" t="inlineStr">
        <is>
          <t>=FIND("-",Sales!A2)</t>
        </is>
      </c>
      <c r="B14" t="inlineStr">
        <is>
          <t>Finds the hyphen position; case-sensitive.</t>
        </is>
      </c>
      <c r="C14">
        <f>FIND("-",Sales!A2)</f>
        <v/>
      </c>
    </row>
    <row r="15">
      <c r="A15" t="inlineStr">
        <is>
          <t>=SEARCH("ord",Sales!A2)</t>
        </is>
      </c>
      <c r="B15" t="inlineStr">
        <is>
          <t>Finds text without case sensitivity.</t>
        </is>
      </c>
      <c r="C15">
        <f>SEARCH("ord",Sales!A2)</f>
        <v/>
      </c>
    </row>
    <row r="16">
      <c r="A16" t="inlineStr">
        <is>
          <t>=TEXTBEFORE(Sales!A2,"-")</t>
        </is>
      </c>
      <c r="B16" t="inlineStr">
        <is>
          <t>Modern way to return text before a hyphen.</t>
        </is>
      </c>
      <c r="C16">
        <f>LEFT(Sales!A2,FIND("-",Sales!A2)-1)</f>
        <v/>
      </c>
    </row>
    <row r="17">
      <c r="A17" t="inlineStr">
        <is>
          <t>=TEXTAFTER(Sales!A2,"-")</t>
        </is>
      </c>
      <c r="B17" t="inlineStr">
        <is>
          <t>Modern way to return text after a hyphen.</t>
        </is>
      </c>
      <c r="C17">
        <f>MID(Sales!A2,FIND("-",Sales!A2)+1,LEN(Sales!A2))</f>
        <v/>
      </c>
    </row>
    <row r="18">
      <c r="A18" t="inlineStr">
        <is>
          <t>=VALUE(TEXTAFTER(Sales!A2,"-"))</t>
        </is>
      </c>
      <c r="B18" t="inlineStr">
        <is>
          <t>Converts the extracted OrderID text to a number.</t>
        </is>
      </c>
      <c r="C18">
        <f>VALUE(MID(Sales!A2,FIND("-",Sales!A2)+1,LEN(Sales!A2)))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6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4" customWidth="1" min="11" max="11"/>
    <col width="24" customWidth="1" min="12" max="12"/>
    <col width="28" customWidth="1" min="13" max="13"/>
    <col width="22" customWidth="1" min="14" max="14"/>
    <col width="14" customWidth="1" min="15" max="15"/>
  </cols>
  <sheetData>
    <row r="1">
      <c r="A1" s="1" t="inlineStr">
        <is>
          <t>OrderID</t>
        </is>
      </c>
      <c r="B1" s="1" t="inlineStr">
        <is>
          <t>Salesperson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UpperName</t>
        </is>
      </c>
      <c r="G1" s="1" t="inlineStr">
        <is>
          <t>LowerName</t>
        </is>
      </c>
      <c r="H1" s="1" t="inlineStr">
        <is>
          <t>ProperName</t>
        </is>
      </c>
      <c r="I1" s="1" t="inlineStr">
        <is>
          <t>OrderPrefix</t>
        </is>
      </c>
      <c r="J1" s="1" t="inlineStr">
        <is>
          <t>OrderNumberText</t>
        </is>
      </c>
      <c r="K1" s="1" t="inlineStr">
        <is>
          <t>ProductLength</t>
        </is>
      </c>
      <c r="L1" s="1" t="inlineStr">
        <is>
          <t>CleanProduct</t>
        </is>
      </c>
      <c r="M1" s="1" t="inlineStr">
        <is>
          <t>RegionSalesperson</t>
        </is>
      </c>
      <c r="N1" s="1" t="inlineStr">
        <is>
          <t>RegionChannel</t>
        </is>
      </c>
      <c r="O1" s="1" t="inlineStr">
        <is>
          <t>OrderNumber</t>
        </is>
      </c>
    </row>
    <row r="2">
      <c r="A2">
        <f>Sales!A2</f>
        <v/>
      </c>
      <c r="B2">
        <f>Sales!D2</f>
        <v/>
      </c>
      <c r="C2">
        <f>Sales!G2</f>
        <v/>
      </c>
      <c r="D2">
        <f>Sales!C2</f>
        <v/>
      </c>
      <c r="E2">
        <f>Sales!E2</f>
        <v/>
      </c>
      <c r="F2">
        <f>UPPER(B2)</f>
        <v/>
      </c>
      <c r="G2">
        <f>LOWER(B2)</f>
        <v/>
      </c>
      <c r="H2">
        <f>PROPER(B2)</f>
        <v/>
      </c>
      <c r="I2">
        <f>LEFT(A2,3)</f>
        <v/>
      </c>
      <c r="J2">
        <f>RIGHT(A2,4)</f>
        <v/>
      </c>
      <c r="K2">
        <f>LEN(C2)</f>
        <v/>
      </c>
      <c r="L2">
        <f>TRIM(C2)</f>
        <v/>
      </c>
      <c r="M2">
        <f>D2&amp;"-"&amp;B2</f>
        <v/>
      </c>
      <c r="N2">
        <f>D2&amp;"-"&amp;E2</f>
        <v/>
      </c>
      <c r="O2">
        <f>VALUE(MID(A2,FIND("-",A2)+1,LEN(A2)))</f>
        <v/>
      </c>
    </row>
    <row r="3">
      <c r="A3">
        <f>Sales!A3</f>
        <v/>
      </c>
      <c r="B3">
        <f>Sales!D3</f>
        <v/>
      </c>
      <c r="C3">
        <f>Sales!G3</f>
        <v/>
      </c>
      <c r="D3">
        <f>Sales!C3</f>
        <v/>
      </c>
      <c r="E3">
        <f>Sales!E3</f>
        <v/>
      </c>
      <c r="F3">
        <f>UPPER(B3)</f>
        <v/>
      </c>
      <c r="G3">
        <f>LOWER(B3)</f>
        <v/>
      </c>
      <c r="H3">
        <f>PROPER(B3)</f>
        <v/>
      </c>
      <c r="I3">
        <f>LEFT(A3,3)</f>
        <v/>
      </c>
      <c r="J3">
        <f>RIGHT(A3,4)</f>
        <v/>
      </c>
      <c r="K3">
        <f>LEN(C3)</f>
        <v/>
      </c>
      <c r="L3">
        <f>TRIM(C3)</f>
        <v/>
      </c>
      <c r="M3">
        <f>D3&amp;"-"&amp;B3</f>
        <v/>
      </c>
      <c r="N3">
        <f>D3&amp;"-"&amp;E3</f>
        <v/>
      </c>
      <c r="O3">
        <f>VALUE(MID(A3,FIND("-",A3)+1,LEN(A3)))</f>
        <v/>
      </c>
    </row>
    <row r="4">
      <c r="A4">
        <f>Sales!A4</f>
        <v/>
      </c>
      <c r="B4">
        <f>Sales!D4</f>
        <v/>
      </c>
      <c r="C4">
        <f>Sales!G4</f>
        <v/>
      </c>
      <c r="D4">
        <f>Sales!C4</f>
        <v/>
      </c>
      <c r="E4">
        <f>Sales!E4</f>
        <v/>
      </c>
      <c r="F4">
        <f>UPPER(B4)</f>
        <v/>
      </c>
      <c r="G4">
        <f>LOWER(B4)</f>
        <v/>
      </c>
      <c r="H4">
        <f>PROPER(B4)</f>
        <v/>
      </c>
      <c r="I4">
        <f>LEFT(A4,3)</f>
        <v/>
      </c>
      <c r="J4">
        <f>RIGHT(A4,4)</f>
        <v/>
      </c>
      <c r="K4">
        <f>LEN(C4)</f>
        <v/>
      </c>
      <c r="L4">
        <f>TRIM(C4)</f>
        <v/>
      </c>
      <c r="M4">
        <f>D4&amp;"-"&amp;B4</f>
        <v/>
      </c>
      <c r="N4">
        <f>D4&amp;"-"&amp;E4</f>
        <v/>
      </c>
      <c r="O4">
        <f>VALUE(MID(A4,FIND("-",A4)+1,LEN(A4)))</f>
        <v/>
      </c>
    </row>
    <row r="5">
      <c r="A5">
        <f>Sales!A5</f>
        <v/>
      </c>
      <c r="B5">
        <f>Sales!D5</f>
        <v/>
      </c>
      <c r="C5">
        <f>Sales!G5</f>
        <v/>
      </c>
      <c r="D5">
        <f>Sales!C5</f>
        <v/>
      </c>
      <c r="E5">
        <f>Sales!E5</f>
        <v/>
      </c>
      <c r="F5">
        <f>UPPER(B5)</f>
        <v/>
      </c>
      <c r="G5">
        <f>LOWER(B5)</f>
        <v/>
      </c>
      <c r="H5">
        <f>PROPER(B5)</f>
        <v/>
      </c>
      <c r="I5">
        <f>LEFT(A5,3)</f>
        <v/>
      </c>
      <c r="J5">
        <f>RIGHT(A5,4)</f>
        <v/>
      </c>
      <c r="K5">
        <f>LEN(C5)</f>
        <v/>
      </c>
      <c r="L5">
        <f>TRIM(C5)</f>
        <v/>
      </c>
      <c r="M5">
        <f>D5&amp;"-"&amp;B5</f>
        <v/>
      </c>
      <c r="N5">
        <f>D5&amp;"-"&amp;E5</f>
        <v/>
      </c>
      <c r="O5">
        <f>VALUE(MID(A5,FIND("-",A5)+1,LEN(A5)))</f>
        <v/>
      </c>
    </row>
    <row r="6">
      <c r="A6">
        <f>Sales!A6</f>
        <v/>
      </c>
      <c r="B6">
        <f>Sales!D6</f>
        <v/>
      </c>
      <c r="C6">
        <f>Sales!G6</f>
        <v/>
      </c>
      <c r="D6">
        <f>Sales!C6</f>
        <v/>
      </c>
      <c r="E6">
        <f>Sales!E6</f>
        <v/>
      </c>
      <c r="F6">
        <f>UPPER(B6)</f>
        <v/>
      </c>
      <c r="G6">
        <f>LOWER(B6)</f>
        <v/>
      </c>
      <c r="H6">
        <f>PROPER(B6)</f>
        <v/>
      </c>
      <c r="I6">
        <f>LEFT(A6,3)</f>
        <v/>
      </c>
      <c r="J6">
        <f>RIGHT(A6,4)</f>
        <v/>
      </c>
      <c r="K6">
        <f>LEN(C6)</f>
        <v/>
      </c>
      <c r="L6">
        <f>TRIM(C6)</f>
        <v/>
      </c>
      <c r="M6">
        <f>D6&amp;"-"&amp;B6</f>
        <v/>
      </c>
      <c r="N6">
        <f>D6&amp;"-"&amp;E6</f>
        <v/>
      </c>
      <c r="O6">
        <f>VALUE(MID(A6,FIND("-",A6)+1,LEN(A6)))</f>
        <v/>
      </c>
    </row>
    <row r="7">
      <c r="A7">
        <f>Sales!A7</f>
        <v/>
      </c>
      <c r="B7">
        <f>Sales!D7</f>
        <v/>
      </c>
      <c r="C7">
        <f>Sales!G7</f>
        <v/>
      </c>
      <c r="D7">
        <f>Sales!C7</f>
        <v/>
      </c>
      <c r="E7">
        <f>Sales!E7</f>
        <v/>
      </c>
      <c r="F7">
        <f>UPPER(B7)</f>
        <v/>
      </c>
      <c r="G7">
        <f>LOWER(B7)</f>
        <v/>
      </c>
      <c r="H7">
        <f>PROPER(B7)</f>
        <v/>
      </c>
      <c r="I7">
        <f>LEFT(A7,3)</f>
        <v/>
      </c>
      <c r="J7">
        <f>RIGHT(A7,4)</f>
        <v/>
      </c>
      <c r="K7">
        <f>LEN(C7)</f>
        <v/>
      </c>
      <c r="L7">
        <f>TRIM(C7)</f>
        <v/>
      </c>
      <c r="M7">
        <f>D7&amp;"-"&amp;B7</f>
        <v/>
      </c>
      <c r="N7">
        <f>D7&amp;"-"&amp;E7</f>
        <v/>
      </c>
      <c r="O7">
        <f>VALUE(MID(A7,FIND("-",A7)+1,LEN(A7)))</f>
        <v/>
      </c>
    </row>
    <row r="8">
      <c r="A8">
        <f>Sales!A8</f>
        <v/>
      </c>
      <c r="B8">
        <f>Sales!D8</f>
        <v/>
      </c>
      <c r="C8">
        <f>Sales!G8</f>
        <v/>
      </c>
      <c r="D8">
        <f>Sales!C8</f>
        <v/>
      </c>
      <c r="E8">
        <f>Sales!E8</f>
        <v/>
      </c>
      <c r="F8">
        <f>UPPER(B8)</f>
        <v/>
      </c>
      <c r="G8">
        <f>LOWER(B8)</f>
        <v/>
      </c>
      <c r="H8">
        <f>PROPER(B8)</f>
        <v/>
      </c>
      <c r="I8">
        <f>LEFT(A8,3)</f>
        <v/>
      </c>
      <c r="J8">
        <f>RIGHT(A8,4)</f>
        <v/>
      </c>
      <c r="K8">
        <f>LEN(C8)</f>
        <v/>
      </c>
      <c r="L8">
        <f>TRIM(C8)</f>
        <v/>
      </c>
      <c r="M8">
        <f>D8&amp;"-"&amp;B8</f>
        <v/>
      </c>
      <c r="N8">
        <f>D8&amp;"-"&amp;E8</f>
        <v/>
      </c>
      <c r="O8">
        <f>VALUE(MID(A8,FIND("-",A8)+1,LEN(A8)))</f>
        <v/>
      </c>
    </row>
    <row r="9">
      <c r="A9">
        <f>Sales!A9</f>
        <v/>
      </c>
      <c r="B9">
        <f>Sales!D9</f>
        <v/>
      </c>
      <c r="C9">
        <f>Sales!G9</f>
        <v/>
      </c>
      <c r="D9">
        <f>Sales!C9</f>
        <v/>
      </c>
      <c r="E9">
        <f>Sales!E9</f>
        <v/>
      </c>
      <c r="F9">
        <f>UPPER(B9)</f>
        <v/>
      </c>
      <c r="G9">
        <f>LOWER(B9)</f>
        <v/>
      </c>
      <c r="H9">
        <f>PROPER(B9)</f>
        <v/>
      </c>
      <c r="I9">
        <f>LEFT(A9,3)</f>
        <v/>
      </c>
      <c r="J9">
        <f>RIGHT(A9,4)</f>
        <v/>
      </c>
      <c r="K9">
        <f>LEN(C9)</f>
        <v/>
      </c>
      <c r="L9">
        <f>TRIM(C9)</f>
        <v/>
      </c>
      <c r="M9">
        <f>D9&amp;"-"&amp;B9</f>
        <v/>
      </c>
      <c r="N9">
        <f>D9&amp;"-"&amp;E9</f>
        <v/>
      </c>
      <c r="O9">
        <f>VALUE(MID(A9,FIND("-",A9)+1,LEN(A9)))</f>
        <v/>
      </c>
    </row>
    <row r="10">
      <c r="A10">
        <f>Sales!A10</f>
        <v/>
      </c>
      <c r="B10">
        <f>Sales!D10</f>
        <v/>
      </c>
      <c r="C10">
        <f>Sales!G10</f>
        <v/>
      </c>
      <c r="D10">
        <f>Sales!C10</f>
        <v/>
      </c>
      <c r="E10">
        <f>Sales!E10</f>
        <v/>
      </c>
      <c r="F10">
        <f>UPPER(B10)</f>
        <v/>
      </c>
      <c r="G10">
        <f>LOWER(B10)</f>
        <v/>
      </c>
      <c r="H10">
        <f>PROPER(B10)</f>
        <v/>
      </c>
      <c r="I10">
        <f>LEFT(A10,3)</f>
        <v/>
      </c>
      <c r="J10">
        <f>RIGHT(A10,4)</f>
        <v/>
      </c>
      <c r="K10">
        <f>LEN(C10)</f>
        <v/>
      </c>
      <c r="L10">
        <f>TRIM(C10)</f>
        <v/>
      </c>
      <c r="M10">
        <f>D10&amp;"-"&amp;B10</f>
        <v/>
      </c>
      <c r="N10">
        <f>D10&amp;"-"&amp;E10</f>
        <v/>
      </c>
      <c r="O10">
        <f>VALUE(MID(A10,FIND("-",A10)+1,LEN(A10)))</f>
        <v/>
      </c>
    </row>
    <row r="11">
      <c r="A11">
        <f>Sales!A11</f>
        <v/>
      </c>
      <c r="B11">
        <f>Sales!D11</f>
        <v/>
      </c>
      <c r="C11">
        <f>Sales!G11</f>
        <v/>
      </c>
      <c r="D11">
        <f>Sales!C11</f>
        <v/>
      </c>
      <c r="E11">
        <f>Sales!E11</f>
        <v/>
      </c>
      <c r="F11">
        <f>UPPER(B11)</f>
        <v/>
      </c>
      <c r="G11">
        <f>LOWER(B11)</f>
        <v/>
      </c>
      <c r="H11">
        <f>PROPER(B11)</f>
        <v/>
      </c>
      <c r="I11">
        <f>LEFT(A11,3)</f>
        <v/>
      </c>
      <c r="J11">
        <f>RIGHT(A11,4)</f>
        <v/>
      </c>
      <c r="K11">
        <f>LEN(C11)</f>
        <v/>
      </c>
      <c r="L11">
        <f>TRIM(C11)</f>
        <v/>
      </c>
      <c r="M11">
        <f>D11&amp;"-"&amp;B11</f>
        <v/>
      </c>
      <c r="N11">
        <f>D11&amp;"-"&amp;E11</f>
        <v/>
      </c>
      <c r="O11">
        <f>VALUE(MID(A11,FIND("-",A11)+1,LEN(A11)))</f>
        <v/>
      </c>
    </row>
    <row r="12">
      <c r="A12">
        <f>Sales!A12</f>
        <v/>
      </c>
      <c r="B12">
        <f>Sales!D12</f>
        <v/>
      </c>
      <c r="C12">
        <f>Sales!G12</f>
        <v/>
      </c>
      <c r="D12">
        <f>Sales!C12</f>
        <v/>
      </c>
      <c r="E12">
        <f>Sales!E12</f>
        <v/>
      </c>
      <c r="F12">
        <f>UPPER(B12)</f>
        <v/>
      </c>
      <c r="G12">
        <f>LOWER(B12)</f>
        <v/>
      </c>
      <c r="H12">
        <f>PROPER(B12)</f>
        <v/>
      </c>
      <c r="I12">
        <f>LEFT(A12,3)</f>
        <v/>
      </c>
      <c r="J12">
        <f>RIGHT(A12,4)</f>
        <v/>
      </c>
      <c r="K12">
        <f>LEN(C12)</f>
        <v/>
      </c>
      <c r="L12">
        <f>TRIM(C12)</f>
        <v/>
      </c>
      <c r="M12">
        <f>D12&amp;"-"&amp;B12</f>
        <v/>
      </c>
      <c r="N12">
        <f>D12&amp;"-"&amp;E12</f>
        <v/>
      </c>
      <c r="O12">
        <f>VALUE(MID(A12,FIND("-",A12)+1,LEN(A12)))</f>
        <v/>
      </c>
    </row>
    <row r="13">
      <c r="A13">
        <f>Sales!A13</f>
        <v/>
      </c>
      <c r="B13">
        <f>Sales!D13</f>
        <v/>
      </c>
      <c r="C13">
        <f>Sales!G13</f>
        <v/>
      </c>
      <c r="D13">
        <f>Sales!C13</f>
        <v/>
      </c>
      <c r="E13">
        <f>Sales!E13</f>
        <v/>
      </c>
      <c r="F13">
        <f>UPPER(B13)</f>
        <v/>
      </c>
      <c r="G13">
        <f>LOWER(B13)</f>
        <v/>
      </c>
      <c r="H13">
        <f>PROPER(B13)</f>
        <v/>
      </c>
      <c r="I13">
        <f>LEFT(A13,3)</f>
        <v/>
      </c>
      <c r="J13">
        <f>RIGHT(A13,4)</f>
        <v/>
      </c>
      <c r="K13">
        <f>LEN(C13)</f>
        <v/>
      </c>
      <c r="L13">
        <f>TRIM(C13)</f>
        <v/>
      </c>
      <c r="M13">
        <f>D13&amp;"-"&amp;B13</f>
        <v/>
      </c>
      <c r="N13">
        <f>D13&amp;"-"&amp;E13</f>
        <v/>
      </c>
      <c r="O13">
        <f>VALUE(MID(A13,FIND("-",A13)+1,LEN(A13)))</f>
        <v/>
      </c>
    </row>
    <row r="14">
      <c r="A14">
        <f>Sales!A14</f>
        <v/>
      </c>
      <c r="B14">
        <f>Sales!D14</f>
        <v/>
      </c>
      <c r="C14">
        <f>Sales!G14</f>
        <v/>
      </c>
      <c r="D14">
        <f>Sales!C14</f>
        <v/>
      </c>
      <c r="E14">
        <f>Sales!E14</f>
        <v/>
      </c>
      <c r="F14">
        <f>UPPER(B14)</f>
        <v/>
      </c>
      <c r="G14">
        <f>LOWER(B14)</f>
        <v/>
      </c>
      <c r="H14">
        <f>PROPER(B14)</f>
        <v/>
      </c>
      <c r="I14">
        <f>LEFT(A14,3)</f>
        <v/>
      </c>
      <c r="J14">
        <f>RIGHT(A14,4)</f>
        <v/>
      </c>
      <c r="K14">
        <f>LEN(C14)</f>
        <v/>
      </c>
      <c r="L14">
        <f>TRIM(C14)</f>
        <v/>
      </c>
      <c r="M14">
        <f>D14&amp;"-"&amp;B14</f>
        <v/>
      </c>
      <c r="N14">
        <f>D14&amp;"-"&amp;E14</f>
        <v/>
      </c>
      <c r="O14">
        <f>VALUE(MID(A14,FIND("-",A14)+1,LEN(A14)))</f>
        <v/>
      </c>
    </row>
    <row r="15">
      <c r="A15">
        <f>Sales!A15</f>
        <v/>
      </c>
      <c r="B15">
        <f>Sales!D15</f>
        <v/>
      </c>
      <c r="C15">
        <f>Sales!G15</f>
        <v/>
      </c>
      <c r="D15">
        <f>Sales!C15</f>
        <v/>
      </c>
      <c r="E15">
        <f>Sales!E15</f>
        <v/>
      </c>
      <c r="F15">
        <f>UPPER(B15)</f>
        <v/>
      </c>
      <c r="G15">
        <f>LOWER(B15)</f>
        <v/>
      </c>
      <c r="H15">
        <f>PROPER(B15)</f>
        <v/>
      </c>
      <c r="I15">
        <f>LEFT(A15,3)</f>
        <v/>
      </c>
      <c r="J15">
        <f>RIGHT(A15,4)</f>
        <v/>
      </c>
      <c r="K15">
        <f>LEN(C15)</f>
        <v/>
      </c>
      <c r="L15">
        <f>TRIM(C15)</f>
        <v/>
      </c>
      <c r="M15">
        <f>D15&amp;"-"&amp;B15</f>
        <v/>
      </c>
      <c r="N15">
        <f>D15&amp;"-"&amp;E15</f>
        <v/>
      </c>
      <c r="O15">
        <f>VALUE(MID(A15,FIND("-",A15)+1,LEN(A15)))</f>
        <v/>
      </c>
    </row>
    <row r="16">
      <c r="A16">
        <f>Sales!A16</f>
        <v/>
      </c>
      <c r="B16">
        <f>Sales!D16</f>
        <v/>
      </c>
      <c r="C16">
        <f>Sales!G16</f>
        <v/>
      </c>
      <c r="D16">
        <f>Sales!C16</f>
        <v/>
      </c>
      <c r="E16">
        <f>Sales!E16</f>
        <v/>
      </c>
      <c r="F16">
        <f>UPPER(B16)</f>
        <v/>
      </c>
      <c r="G16">
        <f>LOWER(B16)</f>
        <v/>
      </c>
      <c r="H16">
        <f>PROPER(B16)</f>
        <v/>
      </c>
      <c r="I16">
        <f>LEFT(A16,3)</f>
        <v/>
      </c>
      <c r="J16">
        <f>RIGHT(A16,4)</f>
        <v/>
      </c>
      <c r="K16">
        <f>LEN(C16)</f>
        <v/>
      </c>
      <c r="L16">
        <f>TRIM(C16)</f>
        <v/>
      </c>
      <c r="M16">
        <f>D16&amp;"-"&amp;B16</f>
        <v/>
      </c>
      <c r="N16">
        <f>D16&amp;"-"&amp;E16</f>
        <v/>
      </c>
      <c r="O16">
        <f>VALUE(MID(A16,FIND("-",A16)+1,LEN(A16)))</f>
        <v/>
      </c>
    </row>
    <row r="17">
      <c r="A17">
        <f>Sales!A17</f>
        <v/>
      </c>
      <c r="B17">
        <f>Sales!D17</f>
        <v/>
      </c>
      <c r="C17">
        <f>Sales!G17</f>
        <v/>
      </c>
      <c r="D17">
        <f>Sales!C17</f>
        <v/>
      </c>
      <c r="E17">
        <f>Sales!E17</f>
        <v/>
      </c>
      <c r="F17">
        <f>UPPER(B17)</f>
        <v/>
      </c>
      <c r="G17">
        <f>LOWER(B17)</f>
        <v/>
      </c>
      <c r="H17">
        <f>PROPER(B17)</f>
        <v/>
      </c>
      <c r="I17">
        <f>LEFT(A17,3)</f>
        <v/>
      </c>
      <c r="J17">
        <f>RIGHT(A17,4)</f>
        <v/>
      </c>
      <c r="K17">
        <f>LEN(C17)</f>
        <v/>
      </c>
      <c r="L17">
        <f>TRIM(C17)</f>
        <v/>
      </c>
      <c r="M17">
        <f>D17&amp;"-"&amp;B17</f>
        <v/>
      </c>
      <c r="N17">
        <f>D17&amp;"-"&amp;E17</f>
        <v/>
      </c>
      <c r="O17">
        <f>VALUE(MID(A17,FIND("-",A17)+1,LEN(A17)))</f>
        <v/>
      </c>
    </row>
    <row r="18">
      <c r="A18">
        <f>Sales!A18</f>
        <v/>
      </c>
      <c r="B18">
        <f>Sales!D18</f>
        <v/>
      </c>
      <c r="C18">
        <f>Sales!G18</f>
        <v/>
      </c>
      <c r="D18">
        <f>Sales!C18</f>
        <v/>
      </c>
      <c r="E18">
        <f>Sales!E18</f>
        <v/>
      </c>
      <c r="F18">
        <f>UPPER(B18)</f>
        <v/>
      </c>
      <c r="G18">
        <f>LOWER(B18)</f>
        <v/>
      </c>
      <c r="H18">
        <f>PROPER(B18)</f>
        <v/>
      </c>
      <c r="I18">
        <f>LEFT(A18,3)</f>
        <v/>
      </c>
      <c r="J18">
        <f>RIGHT(A18,4)</f>
        <v/>
      </c>
      <c r="K18">
        <f>LEN(C18)</f>
        <v/>
      </c>
      <c r="L18">
        <f>TRIM(C18)</f>
        <v/>
      </c>
      <c r="M18">
        <f>D18&amp;"-"&amp;B18</f>
        <v/>
      </c>
      <c r="N18">
        <f>D18&amp;"-"&amp;E18</f>
        <v/>
      </c>
      <c r="O18">
        <f>VALUE(MID(A18,FIND("-",A18)+1,LEN(A18)))</f>
        <v/>
      </c>
    </row>
    <row r="19">
      <c r="A19">
        <f>Sales!A19</f>
        <v/>
      </c>
      <c r="B19">
        <f>Sales!D19</f>
        <v/>
      </c>
      <c r="C19">
        <f>Sales!G19</f>
        <v/>
      </c>
      <c r="D19">
        <f>Sales!C19</f>
        <v/>
      </c>
      <c r="E19">
        <f>Sales!E19</f>
        <v/>
      </c>
      <c r="F19">
        <f>UPPER(B19)</f>
        <v/>
      </c>
      <c r="G19">
        <f>LOWER(B19)</f>
        <v/>
      </c>
      <c r="H19">
        <f>PROPER(B19)</f>
        <v/>
      </c>
      <c r="I19">
        <f>LEFT(A19,3)</f>
        <v/>
      </c>
      <c r="J19">
        <f>RIGHT(A19,4)</f>
        <v/>
      </c>
      <c r="K19">
        <f>LEN(C19)</f>
        <v/>
      </c>
      <c r="L19">
        <f>TRIM(C19)</f>
        <v/>
      </c>
      <c r="M19">
        <f>D19&amp;"-"&amp;B19</f>
        <v/>
      </c>
      <c r="N19">
        <f>D19&amp;"-"&amp;E19</f>
        <v/>
      </c>
      <c r="O19">
        <f>VALUE(MID(A19,FIND("-",A19)+1,LEN(A19)))</f>
        <v/>
      </c>
    </row>
    <row r="20">
      <c r="A20">
        <f>Sales!A20</f>
        <v/>
      </c>
      <c r="B20">
        <f>Sales!D20</f>
        <v/>
      </c>
      <c r="C20">
        <f>Sales!G20</f>
        <v/>
      </c>
      <c r="D20">
        <f>Sales!C20</f>
        <v/>
      </c>
      <c r="E20">
        <f>Sales!E20</f>
        <v/>
      </c>
      <c r="F20">
        <f>UPPER(B20)</f>
        <v/>
      </c>
      <c r="G20">
        <f>LOWER(B20)</f>
        <v/>
      </c>
      <c r="H20">
        <f>PROPER(B20)</f>
        <v/>
      </c>
      <c r="I20">
        <f>LEFT(A20,3)</f>
        <v/>
      </c>
      <c r="J20">
        <f>RIGHT(A20,4)</f>
        <v/>
      </c>
      <c r="K20">
        <f>LEN(C20)</f>
        <v/>
      </c>
      <c r="L20">
        <f>TRIM(C20)</f>
        <v/>
      </c>
      <c r="M20">
        <f>D20&amp;"-"&amp;B20</f>
        <v/>
      </c>
      <c r="N20">
        <f>D20&amp;"-"&amp;E20</f>
        <v/>
      </c>
      <c r="O20">
        <f>VALUE(MID(A20,FIND("-",A20)+1,LEN(A20)))</f>
        <v/>
      </c>
    </row>
    <row r="21">
      <c r="A21">
        <f>Sales!A21</f>
        <v/>
      </c>
      <c r="B21">
        <f>Sales!D21</f>
        <v/>
      </c>
      <c r="C21">
        <f>Sales!G21</f>
        <v/>
      </c>
      <c r="D21">
        <f>Sales!C21</f>
        <v/>
      </c>
      <c r="E21">
        <f>Sales!E21</f>
        <v/>
      </c>
      <c r="F21">
        <f>UPPER(B21)</f>
        <v/>
      </c>
      <c r="G21">
        <f>LOWER(B21)</f>
        <v/>
      </c>
      <c r="H21">
        <f>PROPER(B21)</f>
        <v/>
      </c>
      <c r="I21">
        <f>LEFT(A21,3)</f>
        <v/>
      </c>
      <c r="J21">
        <f>RIGHT(A21,4)</f>
        <v/>
      </c>
      <c r="K21">
        <f>LEN(C21)</f>
        <v/>
      </c>
      <c r="L21">
        <f>TRIM(C21)</f>
        <v/>
      </c>
      <c r="M21">
        <f>D21&amp;"-"&amp;B21</f>
        <v/>
      </c>
      <c r="N21">
        <f>D21&amp;"-"&amp;E21</f>
        <v/>
      </c>
      <c r="O21">
        <f>VALUE(MID(A21,FIND("-",A21)+1,LEN(A21)))</f>
        <v/>
      </c>
    </row>
    <row r="22">
      <c r="A22">
        <f>Sales!A22</f>
        <v/>
      </c>
      <c r="B22">
        <f>Sales!D22</f>
        <v/>
      </c>
      <c r="C22">
        <f>Sales!G22</f>
        <v/>
      </c>
      <c r="D22">
        <f>Sales!C22</f>
        <v/>
      </c>
      <c r="E22">
        <f>Sales!E22</f>
        <v/>
      </c>
      <c r="F22">
        <f>UPPER(B22)</f>
        <v/>
      </c>
      <c r="G22">
        <f>LOWER(B22)</f>
        <v/>
      </c>
      <c r="H22">
        <f>PROPER(B22)</f>
        <v/>
      </c>
      <c r="I22">
        <f>LEFT(A22,3)</f>
        <v/>
      </c>
      <c r="J22">
        <f>RIGHT(A22,4)</f>
        <v/>
      </c>
      <c r="K22">
        <f>LEN(C22)</f>
        <v/>
      </c>
      <c r="L22">
        <f>TRIM(C22)</f>
        <v/>
      </c>
      <c r="M22">
        <f>D22&amp;"-"&amp;B22</f>
        <v/>
      </c>
      <c r="N22">
        <f>D22&amp;"-"&amp;E22</f>
        <v/>
      </c>
      <c r="O22">
        <f>VALUE(MID(A22,FIND("-",A22)+1,LEN(A22)))</f>
        <v/>
      </c>
    </row>
    <row r="23">
      <c r="A23">
        <f>Sales!A23</f>
        <v/>
      </c>
      <c r="B23">
        <f>Sales!D23</f>
        <v/>
      </c>
      <c r="C23">
        <f>Sales!G23</f>
        <v/>
      </c>
      <c r="D23">
        <f>Sales!C23</f>
        <v/>
      </c>
      <c r="E23">
        <f>Sales!E23</f>
        <v/>
      </c>
      <c r="F23">
        <f>UPPER(B23)</f>
        <v/>
      </c>
      <c r="G23">
        <f>LOWER(B23)</f>
        <v/>
      </c>
      <c r="H23">
        <f>PROPER(B23)</f>
        <v/>
      </c>
      <c r="I23">
        <f>LEFT(A23,3)</f>
        <v/>
      </c>
      <c r="J23">
        <f>RIGHT(A23,4)</f>
        <v/>
      </c>
      <c r="K23">
        <f>LEN(C23)</f>
        <v/>
      </c>
      <c r="L23">
        <f>TRIM(C23)</f>
        <v/>
      </c>
      <c r="M23">
        <f>D23&amp;"-"&amp;B23</f>
        <v/>
      </c>
      <c r="N23">
        <f>D23&amp;"-"&amp;E23</f>
        <v/>
      </c>
      <c r="O23">
        <f>VALUE(MID(A23,FIND("-",A23)+1,LEN(A23)))</f>
        <v/>
      </c>
    </row>
    <row r="24">
      <c r="A24">
        <f>Sales!A24</f>
        <v/>
      </c>
      <c r="B24">
        <f>Sales!D24</f>
        <v/>
      </c>
      <c r="C24">
        <f>Sales!G24</f>
        <v/>
      </c>
      <c r="D24">
        <f>Sales!C24</f>
        <v/>
      </c>
      <c r="E24">
        <f>Sales!E24</f>
        <v/>
      </c>
      <c r="F24">
        <f>UPPER(B24)</f>
        <v/>
      </c>
      <c r="G24">
        <f>LOWER(B24)</f>
        <v/>
      </c>
      <c r="H24">
        <f>PROPER(B24)</f>
        <v/>
      </c>
      <c r="I24">
        <f>LEFT(A24,3)</f>
        <v/>
      </c>
      <c r="J24">
        <f>RIGHT(A24,4)</f>
        <v/>
      </c>
      <c r="K24">
        <f>LEN(C24)</f>
        <v/>
      </c>
      <c r="L24">
        <f>TRIM(C24)</f>
        <v/>
      </c>
      <c r="M24">
        <f>D24&amp;"-"&amp;B24</f>
        <v/>
      </c>
      <c r="N24">
        <f>D24&amp;"-"&amp;E24</f>
        <v/>
      </c>
      <c r="O24">
        <f>VALUE(MID(A24,FIND("-",A24)+1,LEN(A24)))</f>
        <v/>
      </c>
    </row>
    <row r="25">
      <c r="A25">
        <f>Sales!A25</f>
        <v/>
      </c>
      <c r="B25">
        <f>Sales!D25</f>
        <v/>
      </c>
      <c r="C25">
        <f>Sales!G25</f>
        <v/>
      </c>
      <c r="D25">
        <f>Sales!C25</f>
        <v/>
      </c>
      <c r="E25">
        <f>Sales!E25</f>
        <v/>
      </c>
      <c r="F25">
        <f>UPPER(B25)</f>
        <v/>
      </c>
      <c r="G25">
        <f>LOWER(B25)</f>
        <v/>
      </c>
      <c r="H25">
        <f>PROPER(B25)</f>
        <v/>
      </c>
      <c r="I25">
        <f>LEFT(A25,3)</f>
        <v/>
      </c>
      <c r="J25">
        <f>RIGHT(A25,4)</f>
        <v/>
      </c>
      <c r="K25">
        <f>LEN(C25)</f>
        <v/>
      </c>
      <c r="L25">
        <f>TRIM(C25)</f>
        <v/>
      </c>
      <c r="M25">
        <f>D25&amp;"-"&amp;B25</f>
        <v/>
      </c>
      <c r="N25">
        <f>D25&amp;"-"&amp;E25</f>
        <v/>
      </c>
      <c r="O25">
        <f>VALUE(MID(A25,FIND("-",A25)+1,LEN(A25)))</f>
        <v/>
      </c>
    </row>
    <row r="26">
      <c r="A26">
        <f>Sales!A26</f>
        <v/>
      </c>
      <c r="B26">
        <f>Sales!D26</f>
        <v/>
      </c>
      <c r="C26">
        <f>Sales!G26</f>
        <v/>
      </c>
      <c r="D26">
        <f>Sales!C26</f>
        <v/>
      </c>
      <c r="E26">
        <f>Sales!E26</f>
        <v/>
      </c>
      <c r="F26">
        <f>UPPER(B26)</f>
        <v/>
      </c>
      <c r="G26">
        <f>LOWER(B26)</f>
        <v/>
      </c>
      <c r="H26">
        <f>PROPER(B26)</f>
        <v/>
      </c>
      <c r="I26">
        <f>LEFT(A26,3)</f>
        <v/>
      </c>
      <c r="J26">
        <f>RIGHT(A26,4)</f>
        <v/>
      </c>
      <c r="K26">
        <f>LEN(C26)</f>
        <v/>
      </c>
      <c r="L26">
        <f>TRIM(C26)</f>
        <v/>
      </c>
      <c r="M26">
        <f>D26&amp;"-"&amp;B26</f>
        <v/>
      </c>
      <c r="N26">
        <f>D26&amp;"-"&amp;E26</f>
        <v/>
      </c>
      <c r="O26">
        <f>VALUE(MID(A26,FIND("-",A26)+1,LEN(A26)))</f>
        <v/>
      </c>
    </row>
    <row r="27">
      <c r="A27">
        <f>Sales!A27</f>
        <v/>
      </c>
      <c r="B27">
        <f>Sales!D27</f>
        <v/>
      </c>
      <c r="C27">
        <f>Sales!G27</f>
        <v/>
      </c>
      <c r="D27">
        <f>Sales!C27</f>
        <v/>
      </c>
      <c r="E27">
        <f>Sales!E27</f>
        <v/>
      </c>
      <c r="F27">
        <f>UPPER(B27)</f>
        <v/>
      </c>
      <c r="G27">
        <f>LOWER(B27)</f>
        <v/>
      </c>
      <c r="H27">
        <f>PROPER(B27)</f>
        <v/>
      </c>
      <c r="I27">
        <f>LEFT(A27,3)</f>
        <v/>
      </c>
      <c r="J27">
        <f>RIGHT(A27,4)</f>
        <v/>
      </c>
      <c r="K27">
        <f>LEN(C27)</f>
        <v/>
      </c>
      <c r="L27">
        <f>TRIM(C27)</f>
        <v/>
      </c>
      <c r="M27">
        <f>D27&amp;"-"&amp;B27</f>
        <v/>
      </c>
      <c r="N27">
        <f>D27&amp;"-"&amp;E27</f>
        <v/>
      </c>
      <c r="O27">
        <f>VALUE(MID(A27,FIND("-",A27)+1,LEN(A27)))</f>
        <v/>
      </c>
    </row>
    <row r="28">
      <c r="A28">
        <f>Sales!A28</f>
        <v/>
      </c>
      <c r="B28">
        <f>Sales!D28</f>
        <v/>
      </c>
      <c r="C28">
        <f>Sales!G28</f>
        <v/>
      </c>
      <c r="D28">
        <f>Sales!C28</f>
        <v/>
      </c>
      <c r="E28">
        <f>Sales!E28</f>
        <v/>
      </c>
      <c r="F28">
        <f>UPPER(B28)</f>
        <v/>
      </c>
      <c r="G28">
        <f>LOWER(B28)</f>
        <v/>
      </c>
      <c r="H28">
        <f>PROPER(B28)</f>
        <v/>
      </c>
      <c r="I28">
        <f>LEFT(A28,3)</f>
        <v/>
      </c>
      <c r="J28">
        <f>RIGHT(A28,4)</f>
        <v/>
      </c>
      <c r="K28">
        <f>LEN(C28)</f>
        <v/>
      </c>
      <c r="L28">
        <f>TRIM(C28)</f>
        <v/>
      </c>
      <c r="M28">
        <f>D28&amp;"-"&amp;B28</f>
        <v/>
      </c>
      <c r="N28">
        <f>D28&amp;"-"&amp;E28</f>
        <v/>
      </c>
      <c r="O28">
        <f>VALUE(MID(A28,FIND("-",A28)+1,LEN(A28)))</f>
        <v/>
      </c>
    </row>
    <row r="29">
      <c r="A29">
        <f>Sales!A29</f>
        <v/>
      </c>
      <c r="B29">
        <f>Sales!D29</f>
        <v/>
      </c>
      <c r="C29">
        <f>Sales!G29</f>
        <v/>
      </c>
      <c r="D29">
        <f>Sales!C29</f>
        <v/>
      </c>
      <c r="E29">
        <f>Sales!E29</f>
        <v/>
      </c>
      <c r="F29">
        <f>UPPER(B29)</f>
        <v/>
      </c>
      <c r="G29">
        <f>LOWER(B29)</f>
        <v/>
      </c>
      <c r="H29">
        <f>PROPER(B29)</f>
        <v/>
      </c>
      <c r="I29">
        <f>LEFT(A29,3)</f>
        <v/>
      </c>
      <c r="J29">
        <f>RIGHT(A29,4)</f>
        <v/>
      </c>
      <c r="K29">
        <f>LEN(C29)</f>
        <v/>
      </c>
      <c r="L29">
        <f>TRIM(C29)</f>
        <v/>
      </c>
      <c r="M29">
        <f>D29&amp;"-"&amp;B29</f>
        <v/>
      </c>
      <c r="N29">
        <f>D29&amp;"-"&amp;E29</f>
        <v/>
      </c>
      <c r="O29">
        <f>VALUE(MID(A29,FIND("-",A29)+1,LEN(A29)))</f>
        <v/>
      </c>
    </row>
    <row r="30">
      <c r="A30">
        <f>Sales!A30</f>
        <v/>
      </c>
      <c r="B30">
        <f>Sales!D30</f>
        <v/>
      </c>
      <c r="C30">
        <f>Sales!G30</f>
        <v/>
      </c>
      <c r="D30">
        <f>Sales!C30</f>
        <v/>
      </c>
      <c r="E30">
        <f>Sales!E30</f>
        <v/>
      </c>
      <c r="F30">
        <f>UPPER(B30)</f>
        <v/>
      </c>
      <c r="G30">
        <f>LOWER(B30)</f>
        <v/>
      </c>
      <c r="H30">
        <f>PROPER(B30)</f>
        <v/>
      </c>
      <c r="I30">
        <f>LEFT(A30,3)</f>
        <v/>
      </c>
      <c r="J30">
        <f>RIGHT(A30,4)</f>
        <v/>
      </c>
      <c r="K30">
        <f>LEN(C30)</f>
        <v/>
      </c>
      <c r="L30">
        <f>TRIM(C30)</f>
        <v/>
      </c>
      <c r="M30">
        <f>D30&amp;"-"&amp;B30</f>
        <v/>
      </c>
      <c r="N30">
        <f>D30&amp;"-"&amp;E30</f>
        <v/>
      </c>
      <c r="O30">
        <f>VALUE(MID(A30,FIND("-",A30)+1,LEN(A30)))</f>
        <v/>
      </c>
    </row>
    <row r="31">
      <c r="A31">
        <f>Sales!A31</f>
        <v/>
      </c>
      <c r="B31">
        <f>Sales!D31</f>
        <v/>
      </c>
      <c r="C31">
        <f>Sales!G31</f>
        <v/>
      </c>
      <c r="D31">
        <f>Sales!C31</f>
        <v/>
      </c>
      <c r="E31">
        <f>Sales!E31</f>
        <v/>
      </c>
      <c r="F31">
        <f>UPPER(B31)</f>
        <v/>
      </c>
      <c r="G31">
        <f>LOWER(B31)</f>
        <v/>
      </c>
      <c r="H31">
        <f>PROPER(B31)</f>
        <v/>
      </c>
      <c r="I31">
        <f>LEFT(A31,3)</f>
        <v/>
      </c>
      <c r="J31">
        <f>RIGHT(A31,4)</f>
        <v/>
      </c>
      <c r="K31">
        <f>LEN(C31)</f>
        <v/>
      </c>
      <c r="L31">
        <f>TRIM(C31)</f>
        <v/>
      </c>
      <c r="M31">
        <f>D31&amp;"-"&amp;B31</f>
        <v/>
      </c>
      <c r="N31">
        <f>D31&amp;"-"&amp;E31</f>
        <v/>
      </c>
      <c r="O31">
        <f>VALUE(MID(A31,FIND("-",A31)+1,LEN(A31)))</f>
        <v/>
      </c>
    </row>
    <row r="32">
      <c r="A32">
        <f>Sales!A32</f>
        <v/>
      </c>
      <c r="B32">
        <f>Sales!D32</f>
        <v/>
      </c>
      <c r="C32">
        <f>Sales!G32</f>
        <v/>
      </c>
      <c r="D32">
        <f>Sales!C32</f>
        <v/>
      </c>
      <c r="E32">
        <f>Sales!E32</f>
        <v/>
      </c>
      <c r="F32">
        <f>UPPER(B32)</f>
        <v/>
      </c>
      <c r="G32">
        <f>LOWER(B32)</f>
        <v/>
      </c>
      <c r="H32">
        <f>PROPER(B32)</f>
        <v/>
      </c>
      <c r="I32">
        <f>LEFT(A32,3)</f>
        <v/>
      </c>
      <c r="J32">
        <f>RIGHT(A32,4)</f>
        <v/>
      </c>
      <c r="K32">
        <f>LEN(C32)</f>
        <v/>
      </c>
      <c r="L32">
        <f>TRIM(C32)</f>
        <v/>
      </c>
      <c r="M32">
        <f>D32&amp;"-"&amp;B32</f>
        <v/>
      </c>
      <c r="N32">
        <f>D32&amp;"-"&amp;E32</f>
        <v/>
      </c>
      <c r="O32">
        <f>VALUE(MID(A32,FIND("-",A32)+1,LEN(A32)))</f>
        <v/>
      </c>
    </row>
    <row r="33">
      <c r="A33">
        <f>Sales!A33</f>
        <v/>
      </c>
      <c r="B33">
        <f>Sales!D33</f>
        <v/>
      </c>
      <c r="C33">
        <f>Sales!G33</f>
        <v/>
      </c>
      <c r="D33">
        <f>Sales!C33</f>
        <v/>
      </c>
      <c r="E33">
        <f>Sales!E33</f>
        <v/>
      </c>
      <c r="F33">
        <f>UPPER(B33)</f>
        <v/>
      </c>
      <c r="G33">
        <f>LOWER(B33)</f>
        <v/>
      </c>
      <c r="H33">
        <f>PROPER(B33)</f>
        <v/>
      </c>
      <c r="I33">
        <f>LEFT(A33,3)</f>
        <v/>
      </c>
      <c r="J33">
        <f>RIGHT(A33,4)</f>
        <v/>
      </c>
      <c r="K33">
        <f>LEN(C33)</f>
        <v/>
      </c>
      <c r="L33">
        <f>TRIM(C33)</f>
        <v/>
      </c>
      <c r="M33">
        <f>D33&amp;"-"&amp;B33</f>
        <v/>
      </c>
      <c r="N33">
        <f>D33&amp;"-"&amp;E33</f>
        <v/>
      </c>
      <c r="O33">
        <f>VALUE(MID(A33,FIND("-",A33)+1,LEN(A33)))</f>
        <v/>
      </c>
    </row>
    <row r="34">
      <c r="A34">
        <f>Sales!A34</f>
        <v/>
      </c>
      <c r="B34">
        <f>Sales!D34</f>
        <v/>
      </c>
      <c r="C34">
        <f>Sales!G34</f>
        <v/>
      </c>
      <c r="D34">
        <f>Sales!C34</f>
        <v/>
      </c>
      <c r="E34">
        <f>Sales!E34</f>
        <v/>
      </c>
      <c r="F34">
        <f>UPPER(B34)</f>
        <v/>
      </c>
      <c r="G34">
        <f>LOWER(B34)</f>
        <v/>
      </c>
      <c r="H34">
        <f>PROPER(B34)</f>
        <v/>
      </c>
      <c r="I34">
        <f>LEFT(A34,3)</f>
        <v/>
      </c>
      <c r="J34">
        <f>RIGHT(A34,4)</f>
        <v/>
      </c>
      <c r="K34">
        <f>LEN(C34)</f>
        <v/>
      </c>
      <c r="L34">
        <f>TRIM(C34)</f>
        <v/>
      </c>
      <c r="M34">
        <f>D34&amp;"-"&amp;B34</f>
        <v/>
      </c>
      <c r="N34">
        <f>D34&amp;"-"&amp;E34</f>
        <v/>
      </c>
      <c r="O34">
        <f>VALUE(MID(A34,FIND("-",A34)+1,LEN(A34)))</f>
        <v/>
      </c>
    </row>
    <row r="35">
      <c r="A35">
        <f>Sales!A35</f>
        <v/>
      </c>
      <c r="B35">
        <f>Sales!D35</f>
        <v/>
      </c>
      <c r="C35">
        <f>Sales!G35</f>
        <v/>
      </c>
      <c r="D35">
        <f>Sales!C35</f>
        <v/>
      </c>
      <c r="E35">
        <f>Sales!E35</f>
        <v/>
      </c>
      <c r="F35">
        <f>UPPER(B35)</f>
        <v/>
      </c>
      <c r="G35">
        <f>LOWER(B35)</f>
        <v/>
      </c>
      <c r="H35">
        <f>PROPER(B35)</f>
        <v/>
      </c>
      <c r="I35">
        <f>LEFT(A35,3)</f>
        <v/>
      </c>
      <c r="J35">
        <f>RIGHT(A35,4)</f>
        <v/>
      </c>
      <c r="K35">
        <f>LEN(C35)</f>
        <v/>
      </c>
      <c r="L35">
        <f>TRIM(C35)</f>
        <v/>
      </c>
      <c r="M35">
        <f>D35&amp;"-"&amp;B35</f>
        <v/>
      </c>
      <c r="N35">
        <f>D35&amp;"-"&amp;E35</f>
        <v/>
      </c>
      <c r="O35">
        <f>VALUE(MID(A35,FIND("-",A35)+1,LEN(A35)))</f>
        <v/>
      </c>
    </row>
    <row r="36">
      <c r="A36">
        <f>Sales!A36</f>
        <v/>
      </c>
      <c r="B36">
        <f>Sales!D36</f>
        <v/>
      </c>
      <c r="C36">
        <f>Sales!G36</f>
        <v/>
      </c>
      <c r="D36">
        <f>Sales!C36</f>
        <v/>
      </c>
      <c r="E36">
        <f>Sales!E36</f>
        <v/>
      </c>
      <c r="F36">
        <f>UPPER(B36)</f>
        <v/>
      </c>
      <c r="G36">
        <f>LOWER(B36)</f>
        <v/>
      </c>
      <c r="H36">
        <f>PROPER(B36)</f>
        <v/>
      </c>
      <c r="I36">
        <f>LEFT(A36,3)</f>
        <v/>
      </c>
      <c r="J36">
        <f>RIGHT(A36,4)</f>
        <v/>
      </c>
      <c r="K36">
        <f>LEN(C36)</f>
        <v/>
      </c>
      <c r="L36">
        <f>TRIM(C36)</f>
        <v/>
      </c>
      <c r="M36">
        <f>D36&amp;"-"&amp;B36</f>
        <v/>
      </c>
      <c r="N36">
        <f>D36&amp;"-"&amp;E36</f>
        <v/>
      </c>
      <c r="O36">
        <f>VALUE(MID(A36,FIND("-",A36)+1,LEN(A36)))</f>
        <v/>
      </c>
    </row>
    <row r="37">
      <c r="A37">
        <f>Sales!A37</f>
        <v/>
      </c>
      <c r="B37">
        <f>Sales!D37</f>
        <v/>
      </c>
      <c r="C37">
        <f>Sales!G37</f>
        <v/>
      </c>
      <c r="D37">
        <f>Sales!C37</f>
        <v/>
      </c>
      <c r="E37">
        <f>Sales!E37</f>
        <v/>
      </c>
      <c r="F37">
        <f>UPPER(B37)</f>
        <v/>
      </c>
      <c r="G37">
        <f>LOWER(B37)</f>
        <v/>
      </c>
      <c r="H37">
        <f>PROPER(B37)</f>
        <v/>
      </c>
      <c r="I37">
        <f>LEFT(A37,3)</f>
        <v/>
      </c>
      <c r="J37">
        <f>RIGHT(A37,4)</f>
        <v/>
      </c>
      <c r="K37">
        <f>LEN(C37)</f>
        <v/>
      </c>
      <c r="L37">
        <f>TRIM(C37)</f>
        <v/>
      </c>
      <c r="M37">
        <f>D37&amp;"-"&amp;B37</f>
        <v/>
      </c>
      <c r="N37">
        <f>D37&amp;"-"&amp;E37</f>
        <v/>
      </c>
      <c r="O37">
        <f>VALUE(MID(A37,FIND("-",A37)+1,LEN(A37)))</f>
        <v/>
      </c>
    </row>
    <row r="38">
      <c r="A38">
        <f>Sales!A38</f>
        <v/>
      </c>
      <c r="B38">
        <f>Sales!D38</f>
        <v/>
      </c>
      <c r="C38">
        <f>Sales!G38</f>
        <v/>
      </c>
      <c r="D38">
        <f>Sales!C38</f>
        <v/>
      </c>
      <c r="E38">
        <f>Sales!E38</f>
        <v/>
      </c>
      <c r="F38">
        <f>UPPER(B38)</f>
        <v/>
      </c>
      <c r="G38">
        <f>LOWER(B38)</f>
        <v/>
      </c>
      <c r="H38">
        <f>PROPER(B38)</f>
        <v/>
      </c>
      <c r="I38">
        <f>LEFT(A38,3)</f>
        <v/>
      </c>
      <c r="J38">
        <f>RIGHT(A38,4)</f>
        <v/>
      </c>
      <c r="K38">
        <f>LEN(C38)</f>
        <v/>
      </c>
      <c r="L38">
        <f>TRIM(C38)</f>
        <v/>
      </c>
      <c r="M38">
        <f>D38&amp;"-"&amp;B38</f>
        <v/>
      </c>
      <c r="N38">
        <f>D38&amp;"-"&amp;E38</f>
        <v/>
      </c>
      <c r="O38">
        <f>VALUE(MID(A38,FIND("-",A38)+1,LEN(A38)))</f>
        <v/>
      </c>
    </row>
    <row r="39">
      <c r="A39">
        <f>Sales!A39</f>
        <v/>
      </c>
      <c r="B39">
        <f>Sales!D39</f>
        <v/>
      </c>
      <c r="C39">
        <f>Sales!G39</f>
        <v/>
      </c>
      <c r="D39">
        <f>Sales!C39</f>
        <v/>
      </c>
      <c r="E39">
        <f>Sales!E39</f>
        <v/>
      </c>
      <c r="F39">
        <f>UPPER(B39)</f>
        <v/>
      </c>
      <c r="G39">
        <f>LOWER(B39)</f>
        <v/>
      </c>
      <c r="H39">
        <f>PROPER(B39)</f>
        <v/>
      </c>
      <c r="I39">
        <f>LEFT(A39,3)</f>
        <v/>
      </c>
      <c r="J39">
        <f>RIGHT(A39,4)</f>
        <v/>
      </c>
      <c r="K39">
        <f>LEN(C39)</f>
        <v/>
      </c>
      <c r="L39">
        <f>TRIM(C39)</f>
        <v/>
      </c>
      <c r="M39">
        <f>D39&amp;"-"&amp;B39</f>
        <v/>
      </c>
      <c r="N39">
        <f>D39&amp;"-"&amp;E39</f>
        <v/>
      </c>
      <c r="O39">
        <f>VALUE(MID(A39,FIND("-",A39)+1,LEN(A39)))</f>
        <v/>
      </c>
    </row>
    <row r="40">
      <c r="A40">
        <f>Sales!A40</f>
        <v/>
      </c>
      <c r="B40">
        <f>Sales!D40</f>
        <v/>
      </c>
      <c r="C40">
        <f>Sales!G40</f>
        <v/>
      </c>
      <c r="D40">
        <f>Sales!C40</f>
        <v/>
      </c>
      <c r="E40">
        <f>Sales!E40</f>
        <v/>
      </c>
      <c r="F40">
        <f>UPPER(B40)</f>
        <v/>
      </c>
      <c r="G40">
        <f>LOWER(B40)</f>
        <v/>
      </c>
      <c r="H40">
        <f>PROPER(B40)</f>
        <v/>
      </c>
      <c r="I40">
        <f>LEFT(A40,3)</f>
        <v/>
      </c>
      <c r="J40">
        <f>RIGHT(A40,4)</f>
        <v/>
      </c>
      <c r="K40">
        <f>LEN(C40)</f>
        <v/>
      </c>
      <c r="L40">
        <f>TRIM(C40)</f>
        <v/>
      </c>
      <c r="M40">
        <f>D40&amp;"-"&amp;B40</f>
        <v/>
      </c>
      <c r="N40">
        <f>D40&amp;"-"&amp;E40</f>
        <v/>
      </c>
      <c r="O40">
        <f>VALUE(MID(A40,FIND("-",A40)+1,LEN(A40)))</f>
        <v/>
      </c>
    </row>
    <row r="41">
      <c r="A41">
        <f>Sales!A41</f>
        <v/>
      </c>
      <c r="B41">
        <f>Sales!D41</f>
        <v/>
      </c>
      <c r="C41">
        <f>Sales!G41</f>
        <v/>
      </c>
      <c r="D41">
        <f>Sales!C41</f>
        <v/>
      </c>
      <c r="E41">
        <f>Sales!E41</f>
        <v/>
      </c>
      <c r="F41">
        <f>UPPER(B41)</f>
        <v/>
      </c>
      <c r="G41">
        <f>LOWER(B41)</f>
        <v/>
      </c>
      <c r="H41">
        <f>PROPER(B41)</f>
        <v/>
      </c>
      <c r="I41">
        <f>LEFT(A41,3)</f>
        <v/>
      </c>
      <c r="J41">
        <f>RIGHT(A41,4)</f>
        <v/>
      </c>
      <c r="K41">
        <f>LEN(C41)</f>
        <v/>
      </c>
      <c r="L41">
        <f>TRIM(C41)</f>
        <v/>
      </c>
      <c r="M41">
        <f>D41&amp;"-"&amp;B41</f>
        <v/>
      </c>
      <c r="N41">
        <f>D41&amp;"-"&amp;E41</f>
        <v/>
      </c>
      <c r="O41">
        <f>VALUE(MID(A41,FIND("-",A41)+1,LEN(A41)))</f>
        <v/>
      </c>
    </row>
    <row r="42">
      <c r="A42">
        <f>Sales!A42</f>
        <v/>
      </c>
      <c r="B42">
        <f>Sales!D42</f>
        <v/>
      </c>
      <c r="C42">
        <f>Sales!G42</f>
        <v/>
      </c>
      <c r="D42">
        <f>Sales!C42</f>
        <v/>
      </c>
      <c r="E42">
        <f>Sales!E42</f>
        <v/>
      </c>
      <c r="F42">
        <f>UPPER(B42)</f>
        <v/>
      </c>
      <c r="G42">
        <f>LOWER(B42)</f>
        <v/>
      </c>
      <c r="H42">
        <f>PROPER(B42)</f>
        <v/>
      </c>
      <c r="I42">
        <f>LEFT(A42,3)</f>
        <v/>
      </c>
      <c r="J42">
        <f>RIGHT(A42,4)</f>
        <v/>
      </c>
      <c r="K42">
        <f>LEN(C42)</f>
        <v/>
      </c>
      <c r="L42">
        <f>TRIM(C42)</f>
        <v/>
      </c>
      <c r="M42">
        <f>D42&amp;"-"&amp;B42</f>
        <v/>
      </c>
      <c r="N42">
        <f>D42&amp;"-"&amp;E42</f>
        <v/>
      </c>
      <c r="O42">
        <f>VALUE(MID(A42,FIND("-",A42)+1,LEN(A42)))</f>
        <v/>
      </c>
    </row>
    <row r="43">
      <c r="A43">
        <f>Sales!A43</f>
        <v/>
      </c>
      <c r="B43">
        <f>Sales!D43</f>
        <v/>
      </c>
      <c r="C43">
        <f>Sales!G43</f>
        <v/>
      </c>
      <c r="D43">
        <f>Sales!C43</f>
        <v/>
      </c>
      <c r="E43">
        <f>Sales!E43</f>
        <v/>
      </c>
      <c r="F43">
        <f>UPPER(B43)</f>
        <v/>
      </c>
      <c r="G43">
        <f>LOWER(B43)</f>
        <v/>
      </c>
      <c r="H43">
        <f>PROPER(B43)</f>
        <v/>
      </c>
      <c r="I43">
        <f>LEFT(A43,3)</f>
        <v/>
      </c>
      <c r="J43">
        <f>RIGHT(A43,4)</f>
        <v/>
      </c>
      <c r="K43">
        <f>LEN(C43)</f>
        <v/>
      </c>
      <c r="L43">
        <f>TRIM(C43)</f>
        <v/>
      </c>
      <c r="M43">
        <f>D43&amp;"-"&amp;B43</f>
        <v/>
      </c>
      <c r="N43">
        <f>D43&amp;"-"&amp;E43</f>
        <v/>
      </c>
      <c r="O43">
        <f>VALUE(MID(A43,FIND("-",A43)+1,LEN(A43)))</f>
        <v/>
      </c>
    </row>
    <row r="44">
      <c r="A44">
        <f>Sales!A44</f>
        <v/>
      </c>
      <c r="B44">
        <f>Sales!D44</f>
        <v/>
      </c>
      <c r="C44">
        <f>Sales!G44</f>
        <v/>
      </c>
      <c r="D44">
        <f>Sales!C44</f>
        <v/>
      </c>
      <c r="E44">
        <f>Sales!E44</f>
        <v/>
      </c>
      <c r="F44">
        <f>UPPER(B44)</f>
        <v/>
      </c>
      <c r="G44">
        <f>LOWER(B44)</f>
        <v/>
      </c>
      <c r="H44">
        <f>PROPER(B44)</f>
        <v/>
      </c>
      <c r="I44">
        <f>LEFT(A44,3)</f>
        <v/>
      </c>
      <c r="J44">
        <f>RIGHT(A44,4)</f>
        <v/>
      </c>
      <c r="K44">
        <f>LEN(C44)</f>
        <v/>
      </c>
      <c r="L44">
        <f>TRIM(C44)</f>
        <v/>
      </c>
      <c r="M44">
        <f>D44&amp;"-"&amp;B44</f>
        <v/>
      </c>
      <c r="N44">
        <f>D44&amp;"-"&amp;E44</f>
        <v/>
      </c>
      <c r="O44">
        <f>VALUE(MID(A44,FIND("-",A44)+1,LEN(A44)))</f>
        <v/>
      </c>
    </row>
    <row r="45">
      <c r="A45">
        <f>Sales!A45</f>
        <v/>
      </c>
      <c r="B45">
        <f>Sales!D45</f>
        <v/>
      </c>
      <c r="C45">
        <f>Sales!G45</f>
        <v/>
      </c>
      <c r="D45">
        <f>Sales!C45</f>
        <v/>
      </c>
      <c r="E45">
        <f>Sales!E45</f>
        <v/>
      </c>
      <c r="F45">
        <f>UPPER(B45)</f>
        <v/>
      </c>
      <c r="G45">
        <f>LOWER(B45)</f>
        <v/>
      </c>
      <c r="H45">
        <f>PROPER(B45)</f>
        <v/>
      </c>
      <c r="I45">
        <f>LEFT(A45,3)</f>
        <v/>
      </c>
      <c r="J45">
        <f>RIGHT(A45,4)</f>
        <v/>
      </c>
      <c r="K45">
        <f>LEN(C45)</f>
        <v/>
      </c>
      <c r="L45">
        <f>TRIM(C45)</f>
        <v/>
      </c>
      <c r="M45">
        <f>D45&amp;"-"&amp;B45</f>
        <v/>
      </c>
      <c r="N45">
        <f>D45&amp;"-"&amp;E45</f>
        <v/>
      </c>
      <c r="O45">
        <f>VALUE(MID(A45,FIND("-",A45)+1,LEN(A45)))</f>
        <v/>
      </c>
    </row>
    <row r="46">
      <c r="A46">
        <f>Sales!A46</f>
        <v/>
      </c>
      <c r="B46">
        <f>Sales!D46</f>
        <v/>
      </c>
      <c r="C46">
        <f>Sales!G46</f>
        <v/>
      </c>
      <c r="D46">
        <f>Sales!C46</f>
        <v/>
      </c>
      <c r="E46">
        <f>Sales!E46</f>
        <v/>
      </c>
      <c r="F46">
        <f>UPPER(B46)</f>
        <v/>
      </c>
      <c r="G46">
        <f>LOWER(B46)</f>
        <v/>
      </c>
      <c r="H46">
        <f>PROPER(B46)</f>
        <v/>
      </c>
      <c r="I46">
        <f>LEFT(A46,3)</f>
        <v/>
      </c>
      <c r="J46">
        <f>RIGHT(A46,4)</f>
        <v/>
      </c>
      <c r="K46">
        <f>LEN(C46)</f>
        <v/>
      </c>
      <c r="L46">
        <f>TRIM(C46)</f>
        <v/>
      </c>
      <c r="M46">
        <f>D46&amp;"-"&amp;B46</f>
        <v/>
      </c>
      <c r="N46">
        <f>D46&amp;"-"&amp;E46</f>
        <v/>
      </c>
      <c r="O46">
        <f>VALUE(MID(A46,FIND("-",A46)+1,LEN(A46)))</f>
        <v/>
      </c>
    </row>
    <row r="47">
      <c r="A47">
        <f>Sales!A47</f>
        <v/>
      </c>
      <c r="B47">
        <f>Sales!D47</f>
        <v/>
      </c>
      <c r="C47">
        <f>Sales!G47</f>
        <v/>
      </c>
      <c r="D47">
        <f>Sales!C47</f>
        <v/>
      </c>
      <c r="E47">
        <f>Sales!E47</f>
        <v/>
      </c>
      <c r="F47">
        <f>UPPER(B47)</f>
        <v/>
      </c>
      <c r="G47">
        <f>LOWER(B47)</f>
        <v/>
      </c>
      <c r="H47">
        <f>PROPER(B47)</f>
        <v/>
      </c>
      <c r="I47">
        <f>LEFT(A47,3)</f>
        <v/>
      </c>
      <c r="J47">
        <f>RIGHT(A47,4)</f>
        <v/>
      </c>
      <c r="K47">
        <f>LEN(C47)</f>
        <v/>
      </c>
      <c r="L47">
        <f>TRIM(C47)</f>
        <v/>
      </c>
      <c r="M47">
        <f>D47&amp;"-"&amp;B47</f>
        <v/>
      </c>
      <c r="N47">
        <f>D47&amp;"-"&amp;E47</f>
        <v/>
      </c>
      <c r="O47">
        <f>VALUE(MID(A47,FIND("-",A47)+1,LEN(A47)))</f>
        <v/>
      </c>
    </row>
    <row r="48">
      <c r="A48">
        <f>Sales!A48</f>
        <v/>
      </c>
      <c r="B48">
        <f>Sales!D48</f>
        <v/>
      </c>
      <c r="C48">
        <f>Sales!G48</f>
        <v/>
      </c>
      <c r="D48">
        <f>Sales!C48</f>
        <v/>
      </c>
      <c r="E48">
        <f>Sales!E48</f>
        <v/>
      </c>
      <c r="F48">
        <f>UPPER(B48)</f>
        <v/>
      </c>
      <c r="G48">
        <f>LOWER(B48)</f>
        <v/>
      </c>
      <c r="H48">
        <f>PROPER(B48)</f>
        <v/>
      </c>
      <c r="I48">
        <f>LEFT(A48,3)</f>
        <v/>
      </c>
      <c r="J48">
        <f>RIGHT(A48,4)</f>
        <v/>
      </c>
      <c r="K48">
        <f>LEN(C48)</f>
        <v/>
      </c>
      <c r="L48">
        <f>TRIM(C48)</f>
        <v/>
      </c>
      <c r="M48">
        <f>D48&amp;"-"&amp;B48</f>
        <v/>
      </c>
      <c r="N48">
        <f>D48&amp;"-"&amp;E48</f>
        <v/>
      </c>
      <c r="O48">
        <f>VALUE(MID(A48,FIND("-",A48)+1,LEN(A48)))</f>
        <v/>
      </c>
    </row>
    <row r="49">
      <c r="A49">
        <f>Sales!A49</f>
        <v/>
      </c>
      <c r="B49">
        <f>Sales!D49</f>
        <v/>
      </c>
      <c r="C49">
        <f>Sales!G49</f>
        <v/>
      </c>
      <c r="D49">
        <f>Sales!C49</f>
        <v/>
      </c>
      <c r="E49">
        <f>Sales!E49</f>
        <v/>
      </c>
      <c r="F49">
        <f>UPPER(B49)</f>
        <v/>
      </c>
      <c r="G49">
        <f>LOWER(B49)</f>
        <v/>
      </c>
      <c r="H49">
        <f>PROPER(B49)</f>
        <v/>
      </c>
      <c r="I49">
        <f>LEFT(A49,3)</f>
        <v/>
      </c>
      <c r="J49">
        <f>RIGHT(A49,4)</f>
        <v/>
      </c>
      <c r="K49">
        <f>LEN(C49)</f>
        <v/>
      </c>
      <c r="L49">
        <f>TRIM(C49)</f>
        <v/>
      </c>
      <c r="M49">
        <f>D49&amp;"-"&amp;B49</f>
        <v/>
      </c>
      <c r="N49">
        <f>D49&amp;"-"&amp;E49</f>
        <v/>
      </c>
      <c r="O49">
        <f>VALUE(MID(A49,FIND("-",A49)+1,LEN(A49)))</f>
        <v/>
      </c>
    </row>
    <row r="50">
      <c r="A50">
        <f>Sales!A50</f>
        <v/>
      </c>
      <c r="B50">
        <f>Sales!D50</f>
        <v/>
      </c>
      <c r="C50">
        <f>Sales!G50</f>
        <v/>
      </c>
      <c r="D50">
        <f>Sales!C50</f>
        <v/>
      </c>
      <c r="E50">
        <f>Sales!E50</f>
        <v/>
      </c>
      <c r="F50">
        <f>UPPER(B50)</f>
        <v/>
      </c>
      <c r="G50">
        <f>LOWER(B50)</f>
        <v/>
      </c>
      <c r="H50">
        <f>PROPER(B50)</f>
        <v/>
      </c>
      <c r="I50">
        <f>LEFT(A50,3)</f>
        <v/>
      </c>
      <c r="J50">
        <f>RIGHT(A50,4)</f>
        <v/>
      </c>
      <c r="K50">
        <f>LEN(C50)</f>
        <v/>
      </c>
      <c r="L50">
        <f>TRIM(C50)</f>
        <v/>
      </c>
      <c r="M50">
        <f>D50&amp;"-"&amp;B50</f>
        <v/>
      </c>
      <c r="N50">
        <f>D50&amp;"-"&amp;E50</f>
        <v/>
      </c>
      <c r="O50">
        <f>VALUE(MID(A50,FIND("-",A50)+1,LEN(A50)))</f>
        <v/>
      </c>
    </row>
    <row r="51">
      <c r="A51">
        <f>Sales!A51</f>
        <v/>
      </c>
      <c r="B51">
        <f>Sales!D51</f>
        <v/>
      </c>
      <c r="C51">
        <f>Sales!G51</f>
        <v/>
      </c>
      <c r="D51">
        <f>Sales!C51</f>
        <v/>
      </c>
      <c r="E51">
        <f>Sales!E51</f>
        <v/>
      </c>
      <c r="F51">
        <f>UPPER(B51)</f>
        <v/>
      </c>
      <c r="G51">
        <f>LOWER(B51)</f>
        <v/>
      </c>
      <c r="H51">
        <f>PROPER(B51)</f>
        <v/>
      </c>
      <c r="I51">
        <f>LEFT(A51,3)</f>
        <v/>
      </c>
      <c r="J51">
        <f>RIGHT(A51,4)</f>
        <v/>
      </c>
      <c r="K51">
        <f>LEN(C51)</f>
        <v/>
      </c>
      <c r="L51">
        <f>TRIM(C51)</f>
        <v/>
      </c>
      <c r="M51">
        <f>D51&amp;"-"&amp;B51</f>
        <v/>
      </c>
      <c r="N51">
        <f>D51&amp;"-"&amp;E51</f>
        <v/>
      </c>
      <c r="O51">
        <f>VALUE(MID(A51,FIND("-",A51)+1,LEN(A51)))</f>
        <v/>
      </c>
    </row>
    <row r="52">
      <c r="A52">
        <f>Sales!A52</f>
        <v/>
      </c>
      <c r="B52">
        <f>Sales!D52</f>
        <v/>
      </c>
      <c r="C52">
        <f>Sales!G52</f>
        <v/>
      </c>
      <c r="D52">
        <f>Sales!C52</f>
        <v/>
      </c>
      <c r="E52">
        <f>Sales!E52</f>
        <v/>
      </c>
      <c r="F52">
        <f>UPPER(B52)</f>
        <v/>
      </c>
      <c r="G52">
        <f>LOWER(B52)</f>
        <v/>
      </c>
      <c r="H52">
        <f>PROPER(B52)</f>
        <v/>
      </c>
      <c r="I52">
        <f>LEFT(A52,3)</f>
        <v/>
      </c>
      <c r="J52">
        <f>RIGHT(A52,4)</f>
        <v/>
      </c>
      <c r="K52">
        <f>LEN(C52)</f>
        <v/>
      </c>
      <c r="L52">
        <f>TRIM(C52)</f>
        <v/>
      </c>
      <c r="M52">
        <f>D52&amp;"-"&amp;B52</f>
        <v/>
      </c>
      <c r="N52">
        <f>D52&amp;"-"&amp;E52</f>
        <v/>
      </c>
      <c r="O52">
        <f>VALUE(MID(A52,FIND("-",A52)+1,LEN(A52)))</f>
        <v/>
      </c>
    </row>
    <row r="53">
      <c r="A53">
        <f>Sales!A53</f>
        <v/>
      </c>
      <c r="B53">
        <f>Sales!D53</f>
        <v/>
      </c>
      <c r="C53">
        <f>Sales!G53</f>
        <v/>
      </c>
      <c r="D53">
        <f>Sales!C53</f>
        <v/>
      </c>
      <c r="E53">
        <f>Sales!E53</f>
        <v/>
      </c>
      <c r="F53">
        <f>UPPER(B53)</f>
        <v/>
      </c>
      <c r="G53">
        <f>LOWER(B53)</f>
        <v/>
      </c>
      <c r="H53">
        <f>PROPER(B53)</f>
        <v/>
      </c>
      <c r="I53">
        <f>LEFT(A53,3)</f>
        <v/>
      </c>
      <c r="J53">
        <f>RIGHT(A53,4)</f>
        <v/>
      </c>
      <c r="K53">
        <f>LEN(C53)</f>
        <v/>
      </c>
      <c r="L53">
        <f>TRIM(C53)</f>
        <v/>
      </c>
      <c r="M53">
        <f>D53&amp;"-"&amp;B53</f>
        <v/>
      </c>
      <c r="N53">
        <f>D53&amp;"-"&amp;E53</f>
        <v/>
      </c>
      <c r="O53">
        <f>VALUE(MID(A53,FIND("-",A53)+1,LEN(A53)))</f>
        <v/>
      </c>
    </row>
    <row r="54">
      <c r="A54">
        <f>Sales!A54</f>
        <v/>
      </c>
      <c r="B54">
        <f>Sales!D54</f>
        <v/>
      </c>
      <c r="C54">
        <f>Sales!G54</f>
        <v/>
      </c>
      <c r="D54">
        <f>Sales!C54</f>
        <v/>
      </c>
      <c r="E54">
        <f>Sales!E54</f>
        <v/>
      </c>
      <c r="F54">
        <f>UPPER(B54)</f>
        <v/>
      </c>
      <c r="G54">
        <f>LOWER(B54)</f>
        <v/>
      </c>
      <c r="H54">
        <f>PROPER(B54)</f>
        <v/>
      </c>
      <c r="I54">
        <f>LEFT(A54,3)</f>
        <v/>
      </c>
      <c r="J54">
        <f>RIGHT(A54,4)</f>
        <v/>
      </c>
      <c r="K54">
        <f>LEN(C54)</f>
        <v/>
      </c>
      <c r="L54">
        <f>TRIM(C54)</f>
        <v/>
      </c>
      <c r="M54">
        <f>D54&amp;"-"&amp;B54</f>
        <v/>
      </c>
      <c r="N54">
        <f>D54&amp;"-"&amp;E54</f>
        <v/>
      </c>
      <c r="O54">
        <f>VALUE(MID(A54,FIND("-",A54)+1,LEN(A54)))</f>
        <v/>
      </c>
    </row>
    <row r="55">
      <c r="A55">
        <f>Sales!A55</f>
        <v/>
      </c>
      <c r="B55">
        <f>Sales!D55</f>
        <v/>
      </c>
      <c r="C55">
        <f>Sales!G55</f>
        <v/>
      </c>
      <c r="D55">
        <f>Sales!C55</f>
        <v/>
      </c>
      <c r="E55">
        <f>Sales!E55</f>
        <v/>
      </c>
      <c r="F55">
        <f>UPPER(B55)</f>
        <v/>
      </c>
      <c r="G55">
        <f>LOWER(B55)</f>
        <v/>
      </c>
      <c r="H55">
        <f>PROPER(B55)</f>
        <v/>
      </c>
      <c r="I55">
        <f>LEFT(A55,3)</f>
        <v/>
      </c>
      <c r="J55">
        <f>RIGHT(A55,4)</f>
        <v/>
      </c>
      <c r="K55">
        <f>LEN(C55)</f>
        <v/>
      </c>
      <c r="L55">
        <f>TRIM(C55)</f>
        <v/>
      </c>
      <c r="M55">
        <f>D55&amp;"-"&amp;B55</f>
        <v/>
      </c>
      <c r="N55">
        <f>D55&amp;"-"&amp;E55</f>
        <v/>
      </c>
      <c r="O55">
        <f>VALUE(MID(A55,FIND("-",A55)+1,LEN(A55)))</f>
        <v/>
      </c>
    </row>
    <row r="56">
      <c r="A56">
        <f>Sales!A56</f>
        <v/>
      </c>
      <c r="B56">
        <f>Sales!D56</f>
        <v/>
      </c>
      <c r="C56">
        <f>Sales!G56</f>
        <v/>
      </c>
      <c r="D56">
        <f>Sales!C56</f>
        <v/>
      </c>
      <c r="E56">
        <f>Sales!E56</f>
        <v/>
      </c>
      <c r="F56">
        <f>UPPER(B56)</f>
        <v/>
      </c>
      <c r="G56">
        <f>LOWER(B56)</f>
        <v/>
      </c>
      <c r="H56">
        <f>PROPER(B56)</f>
        <v/>
      </c>
      <c r="I56">
        <f>LEFT(A56,3)</f>
        <v/>
      </c>
      <c r="J56">
        <f>RIGHT(A56,4)</f>
        <v/>
      </c>
      <c r="K56">
        <f>LEN(C56)</f>
        <v/>
      </c>
      <c r="L56">
        <f>TRIM(C56)</f>
        <v/>
      </c>
      <c r="M56">
        <f>D56&amp;"-"&amp;B56</f>
        <v/>
      </c>
      <c r="N56">
        <f>D56&amp;"-"&amp;E56</f>
        <v/>
      </c>
      <c r="O56">
        <f>VALUE(MID(A56,FIND("-",A56)+1,LEN(A56)))</f>
        <v/>
      </c>
    </row>
    <row r="57">
      <c r="A57">
        <f>Sales!A57</f>
        <v/>
      </c>
      <c r="B57">
        <f>Sales!D57</f>
        <v/>
      </c>
      <c r="C57">
        <f>Sales!G57</f>
        <v/>
      </c>
      <c r="D57">
        <f>Sales!C57</f>
        <v/>
      </c>
      <c r="E57">
        <f>Sales!E57</f>
        <v/>
      </c>
      <c r="F57">
        <f>UPPER(B57)</f>
        <v/>
      </c>
      <c r="G57">
        <f>LOWER(B57)</f>
        <v/>
      </c>
      <c r="H57">
        <f>PROPER(B57)</f>
        <v/>
      </c>
      <c r="I57">
        <f>LEFT(A57,3)</f>
        <v/>
      </c>
      <c r="J57">
        <f>RIGHT(A57,4)</f>
        <v/>
      </c>
      <c r="K57">
        <f>LEN(C57)</f>
        <v/>
      </c>
      <c r="L57">
        <f>TRIM(C57)</f>
        <v/>
      </c>
      <c r="M57">
        <f>D57&amp;"-"&amp;B57</f>
        <v/>
      </c>
      <c r="N57">
        <f>D57&amp;"-"&amp;E57</f>
        <v/>
      </c>
      <c r="O57">
        <f>VALUE(MID(A57,FIND("-",A57)+1,LEN(A57)))</f>
        <v/>
      </c>
    </row>
    <row r="58">
      <c r="A58">
        <f>Sales!A58</f>
        <v/>
      </c>
      <c r="B58">
        <f>Sales!D58</f>
        <v/>
      </c>
      <c r="C58">
        <f>Sales!G58</f>
        <v/>
      </c>
      <c r="D58">
        <f>Sales!C58</f>
        <v/>
      </c>
      <c r="E58">
        <f>Sales!E58</f>
        <v/>
      </c>
      <c r="F58">
        <f>UPPER(B58)</f>
        <v/>
      </c>
      <c r="G58">
        <f>LOWER(B58)</f>
        <v/>
      </c>
      <c r="H58">
        <f>PROPER(B58)</f>
        <v/>
      </c>
      <c r="I58">
        <f>LEFT(A58,3)</f>
        <v/>
      </c>
      <c r="J58">
        <f>RIGHT(A58,4)</f>
        <v/>
      </c>
      <c r="K58">
        <f>LEN(C58)</f>
        <v/>
      </c>
      <c r="L58">
        <f>TRIM(C58)</f>
        <v/>
      </c>
      <c r="M58">
        <f>D58&amp;"-"&amp;B58</f>
        <v/>
      </c>
      <c r="N58">
        <f>D58&amp;"-"&amp;E58</f>
        <v/>
      </c>
      <c r="O58">
        <f>VALUE(MID(A58,FIND("-",A58)+1,LEN(A58)))</f>
        <v/>
      </c>
    </row>
    <row r="59">
      <c r="A59">
        <f>Sales!A59</f>
        <v/>
      </c>
      <c r="B59">
        <f>Sales!D59</f>
        <v/>
      </c>
      <c r="C59">
        <f>Sales!G59</f>
        <v/>
      </c>
      <c r="D59">
        <f>Sales!C59</f>
        <v/>
      </c>
      <c r="E59">
        <f>Sales!E59</f>
        <v/>
      </c>
      <c r="F59">
        <f>UPPER(B59)</f>
        <v/>
      </c>
      <c r="G59">
        <f>LOWER(B59)</f>
        <v/>
      </c>
      <c r="H59">
        <f>PROPER(B59)</f>
        <v/>
      </c>
      <c r="I59">
        <f>LEFT(A59,3)</f>
        <v/>
      </c>
      <c r="J59">
        <f>RIGHT(A59,4)</f>
        <v/>
      </c>
      <c r="K59">
        <f>LEN(C59)</f>
        <v/>
      </c>
      <c r="L59">
        <f>TRIM(C59)</f>
        <v/>
      </c>
      <c r="M59">
        <f>D59&amp;"-"&amp;B59</f>
        <v/>
      </c>
      <c r="N59">
        <f>D59&amp;"-"&amp;E59</f>
        <v/>
      </c>
      <c r="O59">
        <f>VALUE(MID(A59,FIND("-",A59)+1,LEN(A59)))</f>
        <v/>
      </c>
    </row>
    <row r="60">
      <c r="A60">
        <f>Sales!A60</f>
        <v/>
      </c>
      <c r="B60">
        <f>Sales!D60</f>
        <v/>
      </c>
      <c r="C60">
        <f>Sales!G60</f>
        <v/>
      </c>
      <c r="D60">
        <f>Sales!C60</f>
        <v/>
      </c>
      <c r="E60">
        <f>Sales!E60</f>
        <v/>
      </c>
      <c r="F60">
        <f>UPPER(B60)</f>
        <v/>
      </c>
      <c r="G60">
        <f>LOWER(B60)</f>
        <v/>
      </c>
      <c r="H60">
        <f>PROPER(B60)</f>
        <v/>
      </c>
      <c r="I60">
        <f>LEFT(A60,3)</f>
        <v/>
      </c>
      <c r="J60">
        <f>RIGHT(A60,4)</f>
        <v/>
      </c>
      <c r="K60">
        <f>LEN(C60)</f>
        <v/>
      </c>
      <c r="L60">
        <f>TRIM(C60)</f>
        <v/>
      </c>
      <c r="M60">
        <f>D60&amp;"-"&amp;B60</f>
        <v/>
      </c>
      <c r="N60">
        <f>D60&amp;"-"&amp;E60</f>
        <v/>
      </c>
      <c r="O60">
        <f>VALUE(MID(A60,FIND("-",A60)+1,LEN(A60)))</f>
        <v/>
      </c>
    </row>
    <row r="61">
      <c r="A61">
        <f>Sales!A61</f>
        <v/>
      </c>
      <c r="B61">
        <f>Sales!D61</f>
        <v/>
      </c>
      <c r="C61">
        <f>Sales!G61</f>
        <v/>
      </c>
      <c r="D61">
        <f>Sales!C61</f>
        <v/>
      </c>
      <c r="E61">
        <f>Sales!E61</f>
        <v/>
      </c>
      <c r="F61">
        <f>UPPER(B61)</f>
        <v/>
      </c>
      <c r="G61">
        <f>LOWER(B61)</f>
        <v/>
      </c>
      <c r="H61">
        <f>PROPER(B61)</f>
        <v/>
      </c>
      <c r="I61">
        <f>LEFT(A61,3)</f>
        <v/>
      </c>
      <c r="J61">
        <f>RIGHT(A61,4)</f>
        <v/>
      </c>
      <c r="K61">
        <f>LEN(C61)</f>
        <v/>
      </c>
      <c r="L61">
        <f>TRIM(C61)</f>
        <v/>
      </c>
      <c r="M61">
        <f>D61&amp;"-"&amp;B61</f>
        <v/>
      </c>
      <c r="N61">
        <f>D61&amp;"-"&amp;E61</f>
        <v/>
      </c>
      <c r="O61">
        <f>VALUE(MID(A61,FIND("-",A61)+1,LEN(A61)))</f>
        <v/>
      </c>
    </row>
    <row r="62">
      <c r="A62">
        <f>Sales!A62</f>
        <v/>
      </c>
      <c r="B62">
        <f>Sales!D62</f>
        <v/>
      </c>
      <c r="C62">
        <f>Sales!G62</f>
        <v/>
      </c>
      <c r="D62">
        <f>Sales!C62</f>
        <v/>
      </c>
      <c r="E62">
        <f>Sales!E62</f>
        <v/>
      </c>
      <c r="F62">
        <f>UPPER(B62)</f>
        <v/>
      </c>
      <c r="G62">
        <f>LOWER(B62)</f>
        <v/>
      </c>
      <c r="H62">
        <f>PROPER(B62)</f>
        <v/>
      </c>
      <c r="I62">
        <f>LEFT(A62,3)</f>
        <v/>
      </c>
      <c r="J62">
        <f>RIGHT(A62,4)</f>
        <v/>
      </c>
      <c r="K62">
        <f>LEN(C62)</f>
        <v/>
      </c>
      <c r="L62">
        <f>TRIM(C62)</f>
        <v/>
      </c>
      <c r="M62">
        <f>D62&amp;"-"&amp;B62</f>
        <v/>
      </c>
      <c r="N62">
        <f>D62&amp;"-"&amp;E62</f>
        <v/>
      </c>
      <c r="O62">
        <f>VALUE(MID(A62,FIND("-",A62)+1,LEN(A62)))</f>
        <v/>
      </c>
    </row>
    <row r="63">
      <c r="A63">
        <f>Sales!A63</f>
        <v/>
      </c>
      <c r="B63">
        <f>Sales!D63</f>
        <v/>
      </c>
      <c r="C63">
        <f>Sales!G63</f>
        <v/>
      </c>
      <c r="D63">
        <f>Sales!C63</f>
        <v/>
      </c>
      <c r="E63">
        <f>Sales!E63</f>
        <v/>
      </c>
      <c r="F63">
        <f>UPPER(B63)</f>
        <v/>
      </c>
      <c r="G63">
        <f>LOWER(B63)</f>
        <v/>
      </c>
      <c r="H63">
        <f>PROPER(B63)</f>
        <v/>
      </c>
      <c r="I63">
        <f>LEFT(A63,3)</f>
        <v/>
      </c>
      <c r="J63">
        <f>RIGHT(A63,4)</f>
        <v/>
      </c>
      <c r="K63">
        <f>LEN(C63)</f>
        <v/>
      </c>
      <c r="L63">
        <f>TRIM(C63)</f>
        <v/>
      </c>
      <c r="M63">
        <f>D63&amp;"-"&amp;B63</f>
        <v/>
      </c>
      <c r="N63">
        <f>D63&amp;"-"&amp;E63</f>
        <v/>
      </c>
      <c r="O63">
        <f>VALUE(MID(A63,FIND("-",A63)+1,LEN(A63)))</f>
        <v/>
      </c>
    </row>
    <row r="64">
      <c r="A64">
        <f>Sales!A64</f>
        <v/>
      </c>
      <c r="B64">
        <f>Sales!D64</f>
        <v/>
      </c>
      <c r="C64">
        <f>Sales!G64</f>
        <v/>
      </c>
      <c r="D64">
        <f>Sales!C64</f>
        <v/>
      </c>
      <c r="E64">
        <f>Sales!E64</f>
        <v/>
      </c>
      <c r="F64">
        <f>UPPER(B64)</f>
        <v/>
      </c>
      <c r="G64">
        <f>LOWER(B64)</f>
        <v/>
      </c>
      <c r="H64">
        <f>PROPER(B64)</f>
        <v/>
      </c>
      <c r="I64">
        <f>LEFT(A64,3)</f>
        <v/>
      </c>
      <c r="J64">
        <f>RIGHT(A64,4)</f>
        <v/>
      </c>
      <c r="K64">
        <f>LEN(C64)</f>
        <v/>
      </c>
      <c r="L64">
        <f>TRIM(C64)</f>
        <v/>
      </c>
      <c r="M64">
        <f>D64&amp;"-"&amp;B64</f>
        <v/>
      </c>
      <c r="N64">
        <f>D64&amp;"-"&amp;E64</f>
        <v/>
      </c>
      <c r="O64">
        <f>VALUE(MID(A64,FIND("-",A64)+1,LEN(A64)))</f>
        <v/>
      </c>
    </row>
    <row r="65">
      <c r="A65">
        <f>Sales!A65</f>
        <v/>
      </c>
      <c r="B65">
        <f>Sales!D65</f>
        <v/>
      </c>
      <c r="C65">
        <f>Sales!G65</f>
        <v/>
      </c>
      <c r="D65">
        <f>Sales!C65</f>
        <v/>
      </c>
      <c r="E65">
        <f>Sales!E65</f>
        <v/>
      </c>
      <c r="F65">
        <f>UPPER(B65)</f>
        <v/>
      </c>
      <c r="G65">
        <f>LOWER(B65)</f>
        <v/>
      </c>
      <c r="H65">
        <f>PROPER(B65)</f>
        <v/>
      </c>
      <c r="I65">
        <f>LEFT(A65,3)</f>
        <v/>
      </c>
      <c r="J65">
        <f>RIGHT(A65,4)</f>
        <v/>
      </c>
      <c r="K65">
        <f>LEN(C65)</f>
        <v/>
      </c>
      <c r="L65">
        <f>TRIM(C65)</f>
        <v/>
      </c>
      <c r="M65">
        <f>D65&amp;"-"&amp;B65</f>
        <v/>
      </c>
      <c r="N65">
        <f>D65&amp;"-"&amp;E65</f>
        <v/>
      </c>
      <c r="O65">
        <f>VALUE(MID(A65,FIND("-",A65)+1,LEN(A65)))</f>
        <v/>
      </c>
    </row>
    <row r="66">
      <c r="A66">
        <f>Sales!A66</f>
        <v/>
      </c>
      <c r="B66">
        <f>Sales!D66</f>
        <v/>
      </c>
      <c r="C66">
        <f>Sales!G66</f>
        <v/>
      </c>
      <c r="D66">
        <f>Sales!C66</f>
        <v/>
      </c>
      <c r="E66">
        <f>Sales!E66</f>
        <v/>
      </c>
      <c r="F66">
        <f>UPPER(B66)</f>
        <v/>
      </c>
      <c r="G66">
        <f>LOWER(B66)</f>
        <v/>
      </c>
      <c r="H66">
        <f>PROPER(B66)</f>
        <v/>
      </c>
      <c r="I66">
        <f>LEFT(A66,3)</f>
        <v/>
      </c>
      <c r="J66">
        <f>RIGHT(A66,4)</f>
        <v/>
      </c>
      <c r="K66">
        <f>LEN(C66)</f>
        <v/>
      </c>
      <c r="L66">
        <f>TRIM(C66)</f>
        <v/>
      </c>
      <c r="M66">
        <f>D66&amp;"-"&amp;B66</f>
        <v/>
      </c>
      <c r="N66">
        <f>D66&amp;"-"&amp;E66</f>
        <v/>
      </c>
      <c r="O66">
        <f>VALUE(MID(A66,FIND("-",A66)+1,LEN(A66)))</f>
        <v/>
      </c>
    </row>
    <row r="67">
      <c r="A67">
        <f>Sales!A67</f>
        <v/>
      </c>
      <c r="B67">
        <f>Sales!D67</f>
        <v/>
      </c>
      <c r="C67">
        <f>Sales!G67</f>
        <v/>
      </c>
      <c r="D67">
        <f>Sales!C67</f>
        <v/>
      </c>
      <c r="E67">
        <f>Sales!E67</f>
        <v/>
      </c>
      <c r="F67">
        <f>UPPER(B67)</f>
        <v/>
      </c>
      <c r="G67">
        <f>LOWER(B67)</f>
        <v/>
      </c>
      <c r="H67">
        <f>PROPER(B67)</f>
        <v/>
      </c>
      <c r="I67">
        <f>LEFT(A67,3)</f>
        <v/>
      </c>
      <c r="J67">
        <f>RIGHT(A67,4)</f>
        <v/>
      </c>
      <c r="K67">
        <f>LEN(C67)</f>
        <v/>
      </c>
      <c r="L67">
        <f>TRIM(C67)</f>
        <v/>
      </c>
      <c r="M67">
        <f>D67&amp;"-"&amp;B67</f>
        <v/>
      </c>
      <c r="N67">
        <f>D67&amp;"-"&amp;E67</f>
        <v/>
      </c>
      <c r="O67">
        <f>VALUE(MID(A67,FIND("-",A67)+1,LEN(A67)))</f>
        <v/>
      </c>
    </row>
    <row r="68">
      <c r="A68">
        <f>Sales!A68</f>
        <v/>
      </c>
      <c r="B68">
        <f>Sales!D68</f>
        <v/>
      </c>
      <c r="C68">
        <f>Sales!G68</f>
        <v/>
      </c>
      <c r="D68">
        <f>Sales!C68</f>
        <v/>
      </c>
      <c r="E68">
        <f>Sales!E68</f>
        <v/>
      </c>
      <c r="F68">
        <f>UPPER(B68)</f>
        <v/>
      </c>
      <c r="G68">
        <f>LOWER(B68)</f>
        <v/>
      </c>
      <c r="H68">
        <f>PROPER(B68)</f>
        <v/>
      </c>
      <c r="I68">
        <f>LEFT(A68,3)</f>
        <v/>
      </c>
      <c r="J68">
        <f>RIGHT(A68,4)</f>
        <v/>
      </c>
      <c r="K68">
        <f>LEN(C68)</f>
        <v/>
      </c>
      <c r="L68">
        <f>TRIM(C68)</f>
        <v/>
      </c>
      <c r="M68">
        <f>D68&amp;"-"&amp;B68</f>
        <v/>
      </c>
      <c r="N68">
        <f>D68&amp;"-"&amp;E68</f>
        <v/>
      </c>
      <c r="O68">
        <f>VALUE(MID(A68,FIND("-",A68)+1,LEN(A68)))</f>
        <v/>
      </c>
    </row>
    <row r="69">
      <c r="A69">
        <f>Sales!A69</f>
        <v/>
      </c>
      <c r="B69">
        <f>Sales!D69</f>
        <v/>
      </c>
      <c r="C69">
        <f>Sales!G69</f>
        <v/>
      </c>
      <c r="D69">
        <f>Sales!C69</f>
        <v/>
      </c>
      <c r="E69">
        <f>Sales!E69</f>
        <v/>
      </c>
      <c r="F69">
        <f>UPPER(B69)</f>
        <v/>
      </c>
      <c r="G69">
        <f>LOWER(B69)</f>
        <v/>
      </c>
      <c r="H69">
        <f>PROPER(B69)</f>
        <v/>
      </c>
      <c r="I69">
        <f>LEFT(A69,3)</f>
        <v/>
      </c>
      <c r="J69">
        <f>RIGHT(A69,4)</f>
        <v/>
      </c>
      <c r="K69">
        <f>LEN(C69)</f>
        <v/>
      </c>
      <c r="L69">
        <f>TRIM(C69)</f>
        <v/>
      </c>
      <c r="M69">
        <f>D69&amp;"-"&amp;B69</f>
        <v/>
      </c>
      <c r="N69">
        <f>D69&amp;"-"&amp;E69</f>
        <v/>
      </c>
      <c r="O69">
        <f>VALUE(MID(A69,FIND("-",A69)+1,LEN(A69)))</f>
        <v/>
      </c>
    </row>
    <row r="70">
      <c r="A70">
        <f>Sales!A70</f>
        <v/>
      </c>
      <c r="B70">
        <f>Sales!D70</f>
        <v/>
      </c>
      <c r="C70">
        <f>Sales!G70</f>
        <v/>
      </c>
      <c r="D70">
        <f>Sales!C70</f>
        <v/>
      </c>
      <c r="E70">
        <f>Sales!E70</f>
        <v/>
      </c>
      <c r="F70">
        <f>UPPER(B70)</f>
        <v/>
      </c>
      <c r="G70">
        <f>LOWER(B70)</f>
        <v/>
      </c>
      <c r="H70">
        <f>PROPER(B70)</f>
        <v/>
      </c>
      <c r="I70">
        <f>LEFT(A70,3)</f>
        <v/>
      </c>
      <c r="J70">
        <f>RIGHT(A70,4)</f>
        <v/>
      </c>
      <c r="K70">
        <f>LEN(C70)</f>
        <v/>
      </c>
      <c r="L70">
        <f>TRIM(C70)</f>
        <v/>
      </c>
      <c r="M70">
        <f>D70&amp;"-"&amp;B70</f>
        <v/>
      </c>
      <c r="N70">
        <f>D70&amp;"-"&amp;E70</f>
        <v/>
      </c>
      <c r="O70">
        <f>VALUE(MID(A70,FIND("-",A70)+1,LEN(A70)))</f>
        <v/>
      </c>
    </row>
    <row r="71">
      <c r="A71">
        <f>Sales!A71</f>
        <v/>
      </c>
      <c r="B71">
        <f>Sales!D71</f>
        <v/>
      </c>
      <c r="C71">
        <f>Sales!G71</f>
        <v/>
      </c>
      <c r="D71">
        <f>Sales!C71</f>
        <v/>
      </c>
      <c r="E71">
        <f>Sales!E71</f>
        <v/>
      </c>
      <c r="F71">
        <f>UPPER(B71)</f>
        <v/>
      </c>
      <c r="G71">
        <f>LOWER(B71)</f>
        <v/>
      </c>
      <c r="H71">
        <f>PROPER(B71)</f>
        <v/>
      </c>
      <c r="I71">
        <f>LEFT(A71,3)</f>
        <v/>
      </c>
      <c r="J71">
        <f>RIGHT(A71,4)</f>
        <v/>
      </c>
      <c r="K71">
        <f>LEN(C71)</f>
        <v/>
      </c>
      <c r="L71">
        <f>TRIM(C71)</f>
        <v/>
      </c>
      <c r="M71">
        <f>D71&amp;"-"&amp;B71</f>
        <v/>
      </c>
      <c r="N71">
        <f>D71&amp;"-"&amp;E71</f>
        <v/>
      </c>
      <c r="O71">
        <f>VALUE(MID(A71,FIND("-",A71)+1,LEN(A71)))</f>
        <v/>
      </c>
    </row>
    <row r="72">
      <c r="A72">
        <f>Sales!A72</f>
        <v/>
      </c>
      <c r="B72">
        <f>Sales!D72</f>
        <v/>
      </c>
      <c r="C72">
        <f>Sales!G72</f>
        <v/>
      </c>
      <c r="D72">
        <f>Sales!C72</f>
        <v/>
      </c>
      <c r="E72">
        <f>Sales!E72</f>
        <v/>
      </c>
      <c r="F72">
        <f>UPPER(B72)</f>
        <v/>
      </c>
      <c r="G72">
        <f>LOWER(B72)</f>
        <v/>
      </c>
      <c r="H72">
        <f>PROPER(B72)</f>
        <v/>
      </c>
      <c r="I72">
        <f>LEFT(A72,3)</f>
        <v/>
      </c>
      <c r="J72">
        <f>RIGHT(A72,4)</f>
        <v/>
      </c>
      <c r="K72">
        <f>LEN(C72)</f>
        <v/>
      </c>
      <c r="L72">
        <f>TRIM(C72)</f>
        <v/>
      </c>
      <c r="M72">
        <f>D72&amp;"-"&amp;B72</f>
        <v/>
      </c>
      <c r="N72">
        <f>D72&amp;"-"&amp;E72</f>
        <v/>
      </c>
      <c r="O72">
        <f>VALUE(MID(A72,FIND("-",A72)+1,LEN(A72)))</f>
        <v/>
      </c>
    </row>
    <row r="73">
      <c r="A73">
        <f>Sales!A73</f>
        <v/>
      </c>
      <c r="B73">
        <f>Sales!D73</f>
        <v/>
      </c>
      <c r="C73">
        <f>Sales!G73</f>
        <v/>
      </c>
      <c r="D73">
        <f>Sales!C73</f>
        <v/>
      </c>
      <c r="E73">
        <f>Sales!E73</f>
        <v/>
      </c>
      <c r="F73">
        <f>UPPER(B73)</f>
        <v/>
      </c>
      <c r="G73">
        <f>LOWER(B73)</f>
        <v/>
      </c>
      <c r="H73">
        <f>PROPER(B73)</f>
        <v/>
      </c>
      <c r="I73">
        <f>LEFT(A73,3)</f>
        <v/>
      </c>
      <c r="J73">
        <f>RIGHT(A73,4)</f>
        <v/>
      </c>
      <c r="K73">
        <f>LEN(C73)</f>
        <v/>
      </c>
      <c r="L73">
        <f>TRIM(C73)</f>
        <v/>
      </c>
      <c r="M73">
        <f>D73&amp;"-"&amp;B73</f>
        <v/>
      </c>
      <c r="N73">
        <f>D73&amp;"-"&amp;E73</f>
        <v/>
      </c>
      <c r="O73">
        <f>VALUE(MID(A73,FIND("-",A73)+1,LEN(A73)))</f>
        <v/>
      </c>
    </row>
    <row r="74">
      <c r="A74">
        <f>Sales!A74</f>
        <v/>
      </c>
      <c r="B74">
        <f>Sales!D74</f>
        <v/>
      </c>
      <c r="C74">
        <f>Sales!G74</f>
        <v/>
      </c>
      <c r="D74">
        <f>Sales!C74</f>
        <v/>
      </c>
      <c r="E74">
        <f>Sales!E74</f>
        <v/>
      </c>
      <c r="F74">
        <f>UPPER(B74)</f>
        <v/>
      </c>
      <c r="G74">
        <f>LOWER(B74)</f>
        <v/>
      </c>
      <c r="H74">
        <f>PROPER(B74)</f>
        <v/>
      </c>
      <c r="I74">
        <f>LEFT(A74,3)</f>
        <v/>
      </c>
      <c r="J74">
        <f>RIGHT(A74,4)</f>
        <v/>
      </c>
      <c r="K74">
        <f>LEN(C74)</f>
        <v/>
      </c>
      <c r="L74">
        <f>TRIM(C74)</f>
        <v/>
      </c>
      <c r="M74">
        <f>D74&amp;"-"&amp;B74</f>
        <v/>
      </c>
      <c r="N74">
        <f>D74&amp;"-"&amp;E74</f>
        <v/>
      </c>
      <c r="O74">
        <f>VALUE(MID(A74,FIND("-",A74)+1,LEN(A74)))</f>
        <v/>
      </c>
    </row>
    <row r="75">
      <c r="A75">
        <f>Sales!A75</f>
        <v/>
      </c>
      <c r="B75">
        <f>Sales!D75</f>
        <v/>
      </c>
      <c r="C75">
        <f>Sales!G75</f>
        <v/>
      </c>
      <c r="D75">
        <f>Sales!C75</f>
        <v/>
      </c>
      <c r="E75">
        <f>Sales!E75</f>
        <v/>
      </c>
      <c r="F75">
        <f>UPPER(B75)</f>
        <v/>
      </c>
      <c r="G75">
        <f>LOWER(B75)</f>
        <v/>
      </c>
      <c r="H75">
        <f>PROPER(B75)</f>
        <v/>
      </c>
      <c r="I75">
        <f>LEFT(A75,3)</f>
        <v/>
      </c>
      <c r="J75">
        <f>RIGHT(A75,4)</f>
        <v/>
      </c>
      <c r="K75">
        <f>LEN(C75)</f>
        <v/>
      </c>
      <c r="L75">
        <f>TRIM(C75)</f>
        <v/>
      </c>
      <c r="M75">
        <f>D75&amp;"-"&amp;B75</f>
        <v/>
      </c>
      <c r="N75">
        <f>D75&amp;"-"&amp;E75</f>
        <v/>
      </c>
      <c r="O75">
        <f>VALUE(MID(A75,FIND("-",A75)+1,LEN(A75)))</f>
        <v/>
      </c>
    </row>
    <row r="76">
      <c r="A76">
        <f>Sales!A76</f>
        <v/>
      </c>
      <c r="B76">
        <f>Sales!D76</f>
        <v/>
      </c>
      <c r="C76">
        <f>Sales!G76</f>
        <v/>
      </c>
      <c r="D76">
        <f>Sales!C76</f>
        <v/>
      </c>
      <c r="E76">
        <f>Sales!E76</f>
        <v/>
      </c>
      <c r="F76">
        <f>UPPER(B76)</f>
        <v/>
      </c>
      <c r="G76">
        <f>LOWER(B76)</f>
        <v/>
      </c>
      <c r="H76">
        <f>PROPER(B76)</f>
        <v/>
      </c>
      <c r="I76">
        <f>LEFT(A76,3)</f>
        <v/>
      </c>
      <c r="J76">
        <f>RIGHT(A76,4)</f>
        <v/>
      </c>
      <c r="K76">
        <f>LEN(C76)</f>
        <v/>
      </c>
      <c r="L76">
        <f>TRIM(C76)</f>
        <v/>
      </c>
      <c r="M76">
        <f>D76&amp;"-"&amp;B76</f>
        <v/>
      </c>
      <c r="N76">
        <f>D76&amp;"-"&amp;E76</f>
        <v/>
      </c>
      <c r="O76">
        <f>VALUE(MID(A76,FIND("-",A76)+1,LEN(A76)))</f>
        <v/>
      </c>
    </row>
    <row r="77">
      <c r="A77">
        <f>Sales!A77</f>
        <v/>
      </c>
      <c r="B77">
        <f>Sales!D77</f>
        <v/>
      </c>
      <c r="C77">
        <f>Sales!G77</f>
        <v/>
      </c>
      <c r="D77">
        <f>Sales!C77</f>
        <v/>
      </c>
      <c r="E77">
        <f>Sales!E77</f>
        <v/>
      </c>
      <c r="F77">
        <f>UPPER(B77)</f>
        <v/>
      </c>
      <c r="G77">
        <f>LOWER(B77)</f>
        <v/>
      </c>
      <c r="H77">
        <f>PROPER(B77)</f>
        <v/>
      </c>
      <c r="I77">
        <f>LEFT(A77,3)</f>
        <v/>
      </c>
      <c r="J77">
        <f>RIGHT(A77,4)</f>
        <v/>
      </c>
      <c r="K77">
        <f>LEN(C77)</f>
        <v/>
      </c>
      <c r="L77">
        <f>TRIM(C77)</f>
        <v/>
      </c>
      <c r="M77">
        <f>D77&amp;"-"&amp;B77</f>
        <v/>
      </c>
      <c r="N77">
        <f>D77&amp;"-"&amp;E77</f>
        <v/>
      </c>
      <c r="O77">
        <f>VALUE(MID(A77,FIND("-",A77)+1,LEN(A77)))</f>
        <v/>
      </c>
    </row>
    <row r="78">
      <c r="A78">
        <f>Sales!A78</f>
        <v/>
      </c>
      <c r="B78">
        <f>Sales!D78</f>
        <v/>
      </c>
      <c r="C78">
        <f>Sales!G78</f>
        <v/>
      </c>
      <c r="D78">
        <f>Sales!C78</f>
        <v/>
      </c>
      <c r="E78">
        <f>Sales!E78</f>
        <v/>
      </c>
      <c r="F78">
        <f>UPPER(B78)</f>
        <v/>
      </c>
      <c r="G78">
        <f>LOWER(B78)</f>
        <v/>
      </c>
      <c r="H78">
        <f>PROPER(B78)</f>
        <v/>
      </c>
      <c r="I78">
        <f>LEFT(A78,3)</f>
        <v/>
      </c>
      <c r="J78">
        <f>RIGHT(A78,4)</f>
        <v/>
      </c>
      <c r="K78">
        <f>LEN(C78)</f>
        <v/>
      </c>
      <c r="L78">
        <f>TRIM(C78)</f>
        <v/>
      </c>
      <c r="M78">
        <f>D78&amp;"-"&amp;B78</f>
        <v/>
      </c>
      <c r="N78">
        <f>D78&amp;"-"&amp;E78</f>
        <v/>
      </c>
      <c r="O78">
        <f>VALUE(MID(A78,FIND("-",A78)+1,LEN(A78)))</f>
        <v/>
      </c>
    </row>
    <row r="79">
      <c r="A79">
        <f>Sales!A79</f>
        <v/>
      </c>
      <c r="B79">
        <f>Sales!D79</f>
        <v/>
      </c>
      <c r="C79">
        <f>Sales!G79</f>
        <v/>
      </c>
      <c r="D79">
        <f>Sales!C79</f>
        <v/>
      </c>
      <c r="E79">
        <f>Sales!E79</f>
        <v/>
      </c>
      <c r="F79">
        <f>UPPER(B79)</f>
        <v/>
      </c>
      <c r="G79">
        <f>LOWER(B79)</f>
        <v/>
      </c>
      <c r="H79">
        <f>PROPER(B79)</f>
        <v/>
      </c>
      <c r="I79">
        <f>LEFT(A79,3)</f>
        <v/>
      </c>
      <c r="J79">
        <f>RIGHT(A79,4)</f>
        <v/>
      </c>
      <c r="K79">
        <f>LEN(C79)</f>
        <v/>
      </c>
      <c r="L79">
        <f>TRIM(C79)</f>
        <v/>
      </c>
      <c r="M79">
        <f>D79&amp;"-"&amp;B79</f>
        <v/>
      </c>
      <c r="N79">
        <f>D79&amp;"-"&amp;E79</f>
        <v/>
      </c>
      <c r="O79">
        <f>VALUE(MID(A79,FIND("-",A79)+1,LEN(A79)))</f>
        <v/>
      </c>
    </row>
    <row r="80">
      <c r="A80">
        <f>Sales!A80</f>
        <v/>
      </c>
      <c r="B80">
        <f>Sales!D80</f>
        <v/>
      </c>
      <c r="C80">
        <f>Sales!G80</f>
        <v/>
      </c>
      <c r="D80">
        <f>Sales!C80</f>
        <v/>
      </c>
      <c r="E80">
        <f>Sales!E80</f>
        <v/>
      </c>
      <c r="F80">
        <f>UPPER(B80)</f>
        <v/>
      </c>
      <c r="G80">
        <f>LOWER(B80)</f>
        <v/>
      </c>
      <c r="H80">
        <f>PROPER(B80)</f>
        <v/>
      </c>
      <c r="I80">
        <f>LEFT(A80,3)</f>
        <v/>
      </c>
      <c r="J80">
        <f>RIGHT(A80,4)</f>
        <v/>
      </c>
      <c r="K80">
        <f>LEN(C80)</f>
        <v/>
      </c>
      <c r="L80">
        <f>TRIM(C80)</f>
        <v/>
      </c>
      <c r="M80">
        <f>D80&amp;"-"&amp;B80</f>
        <v/>
      </c>
      <c r="N80">
        <f>D80&amp;"-"&amp;E80</f>
        <v/>
      </c>
      <c r="O80">
        <f>VALUE(MID(A80,FIND("-",A80)+1,LEN(A80)))</f>
        <v/>
      </c>
    </row>
    <row r="81">
      <c r="A81">
        <f>Sales!A81</f>
        <v/>
      </c>
      <c r="B81">
        <f>Sales!D81</f>
        <v/>
      </c>
      <c r="C81">
        <f>Sales!G81</f>
        <v/>
      </c>
      <c r="D81">
        <f>Sales!C81</f>
        <v/>
      </c>
      <c r="E81">
        <f>Sales!E81</f>
        <v/>
      </c>
      <c r="F81">
        <f>UPPER(B81)</f>
        <v/>
      </c>
      <c r="G81">
        <f>LOWER(B81)</f>
        <v/>
      </c>
      <c r="H81">
        <f>PROPER(B81)</f>
        <v/>
      </c>
      <c r="I81">
        <f>LEFT(A81,3)</f>
        <v/>
      </c>
      <c r="J81">
        <f>RIGHT(A81,4)</f>
        <v/>
      </c>
      <c r="K81">
        <f>LEN(C81)</f>
        <v/>
      </c>
      <c r="L81">
        <f>TRIM(C81)</f>
        <v/>
      </c>
      <c r="M81">
        <f>D81&amp;"-"&amp;B81</f>
        <v/>
      </c>
      <c r="N81">
        <f>D81&amp;"-"&amp;E81</f>
        <v/>
      </c>
      <c r="O81">
        <f>VALUE(MID(A81,FIND("-",A81)+1,LEN(A81)))</f>
        <v/>
      </c>
    </row>
    <row r="82">
      <c r="A82">
        <f>Sales!A82</f>
        <v/>
      </c>
      <c r="B82">
        <f>Sales!D82</f>
        <v/>
      </c>
      <c r="C82">
        <f>Sales!G82</f>
        <v/>
      </c>
      <c r="D82">
        <f>Sales!C82</f>
        <v/>
      </c>
      <c r="E82">
        <f>Sales!E82</f>
        <v/>
      </c>
      <c r="F82">
        <f>UPPER(B82)</f>
        <v/>
      </c>
      <c r="G82">
        <f>LOWER(B82)</f>
        <v/>
      </c>
      <c r="H82">
        <f>PROPER(B82)</f>
        <v/>
      </c>
      <c r="I82">
        <f>LEFT(A82,3)</f>
        <v/>
      </c>
      <c r="J82">
        <f>RIGHT(A82,4)</f>
        <v/>
      </c>
      <c r="K82">
        <f>LEN(C82)</f>
        <v/>
      </c>
      <c r="L82">
        <f>TRIM(C82)</f>
        <v/>
      </c>
      <c r="M82">
        <f>D82&amp;"-"&amp;B82</f>
        <v/>
      </c>
      <c r="N82">
        <f>D82&amp;"-"&amp;E82</f>
        <v/>
      </c>
      <c r="O82">
        <f>VALUE(MID(A82,FIND("-",A82)+1,LEN(A82)))</f>
        <v/>
      </c>
    </row>
    <row r="83">
      <c r="A83">
        <f>Sales!A83</f>
        <v/>
      </c>
      <c r="B83">
        <f>Sales!D83</f>
        <v/>
      </c>
      <c r="C83">
        <f>Sales!G83</f>
        <v/>
      </c>
      <c r="D83">
        <f>Sales!C83</f>
        <v/>
      </c>
      <c r="E83">
        <f>Sales!E83</f>
        <v/>
      </c>
      <c r="F83">
        <f>UPPER(B83)</f>
        <v/>
      </c>
      <c r="G83">
        <f>LOWER(B83)</f>
        <v/>
      </c>
      <c r="H83">
        <f>PROPER(B83)</f>
        <v/>
      </c>
      <c r="I83">
        <f>LEFT(A83,3)</f>
        <v/>
      </c>
      <c r="J83">
        <f>RIGHT(A83,4)</f>
        <v/>
      </c>
      <c r="K83">
        <f>LEN(C83)</f>
        <v/>
      </c>
      <c r="L83">
        <f>TRIM(C83)</f>
        <v/>
      </c>
      <c r="M83">
        <f>D83&amp;"-"&amp;B83</f>
        <v/>
      </c>
      <c r="N83">
        <f>D83&amp;"-"&amp;E83</f>
        <v/>
      </c>
      <c r="O83">
        <f>VALUE(MID(A83,FIND("-",A83)+1,LEN(A83)))</f>
        <v/>
      </c>
    </row>
    <row r="84">
      <c r="A84">
        <f>Sales!A84</f>
        <v/>
      </c>
      <c r="B84">
        <f>Sales!D84</f>
        <v/>
      </c>
      <c r="C84">
        <f>Sales!G84</f>
        <v/>
      </c>
      <c r="D84">
        <f>Sales!C84</f>
        <v/>
      </c>
      <c r="E84">
        <f>Sales!E84</f>
        <v/>
      </c>
      <c r="F84">
        <f>UPPER(B84)</f>
        <v/>
      </c>
      <c r="G84">
        <f>LOWER(B84)</f>
        <v/>
      </c>
      <c r="H84">
        <f>PROPER(B84)</f>
        <v/>
      </c>
      <c r="I84">
        <f>LEFT(A84,3)</f>
        <v/>
      </c>
      <c r="J84">
        <f>RIGHT(A84,4)</f>
        <v/>
      </c>
      <c r="K84">
        <f>LEN(C84)</f>
        <v/>
      </c>
      <c r="L84">
        <f>TRIM(C84)</f>
        <v/>
      </c>
      <c r="M84">
        <f>D84&amp;"-"&amp;B84</f>
        <v/>
      </c>
      <c r="N84">
        <f>D84&amp;"-"&amp;E84</f>
        <v/>
      </c>
      <c r="O84">
        <f>VALUE(MID(A84,FIND("-",A84)+1,LEN(A84)))</f>
        <v/>
      </c>
    </row>
    <row r="85">
      <c r="A85">
        <f>Sales!A85</f>
        <v/>
      </c>
      <c r="B85">
        <f>Sales!D85</f>
        <v/>
      </c>
      <c r="C85">
        <f>Sales!G85</f>
        <v/>
      </c>
      <c r="D85">
        <f>Sales!C85</f>
        <v/>
      </c>
      <c r="E85">
        <f>Sales!E85</f>
        <v/>
      </c>
      <c r="F85">
        <f>UPPER(B85)</f>
        <v/>
      </c>
      <c r="G85">
        <f>LOWER(B85)</f>
        <v/>
      </c>
      <c r="H85">
        <f>PROPER(B85)</f>
        <v/>
      </c>
      <c r="I85">
        <f>LEFT(A85,3)</f>
        <v/>
      </c>
      <c r="J85">
        <f>RIGHT(A85,4)</f>
        <v/>
      </c>
      <c r="K85">
        <f>LEN(C85)</f>
        <v/>
      </c>
      <c r="L85">
        <f>TRIM(C85)</f>
        <v/>
      </c>
      <c r="M85">
        <f>D85&amp;"-"&amp;B85</f>
        <v/>
      </c>
      <c r="N85">
        <f>D85&amp;"-"&amp;E85</f>
        <v/>
      </c>
      <c r="O85">
        <f>VALUE(MID(A85,FIND("-",A85)+1,LEN(A85)))</f>
        <v/>
      </c>
    </row>
    <row r="86">
      <c r="A86">
        <f>Sales!A86</f>
        <v/>
      </c>
      <c r="B86">
        <f>Sales!D86</f>
        <v/>
      </c>
      <c r="C86">
        <f>Sales!G86</f>
        <v/>
      </c>
      <c r="D86">
        <f>Sales!C86</f>
        <v/>
      </c>
      <c r="E86">
        <f>Sales!E86</f>
        <v/>
      </c>
      <c r="F86">
        <f>UPPER(B86)</f>
        <v/>
      </c>
      <c r="G86">
        <f>LOWER(B86)</f>
        <v/>
      </c>
      <c r="H86">
        <f>PROPER(B86)</f>
        <v/>
      </c>
      <c r="I86">
        <f>LEFT(A86,3)</f>
        <v/>
      </c>
      <c r="J86">
        <f>RIGHT(A86,4)</f>
        <v/>
      </c>
      <c r="K86">
        <f>LEN(C86)</f>
        <v/>
      </c>
      <c r="L86">
        <f>TRIM(C86)</f>
        <v/>
      </c>
      <c r="M86">
        <f>D86&amp;"-"&amp;B86</f>
        <v/>
      </c>
      <c r="N86">
        <f>D86&amp;"-"&amp;E86</f>
        <v/>
      </c>
      <c r="O86">
        <f>VALUE(MID(A86,FIND("-",A86)+1,LEN(A86)))</f>
        <v/>
      </c>
    </row>
    <row r="87">
      <c r="A87">
        <f>Sales!A87</f>
        <v/>
      </c>
      <c r="B87">
        <f>Sales!D87</f>
        <v/>
      </c>
      <c r="C87">
        <f>Sales!G87</f>
        <v/>
      </c>
      <c r="D87">
        <f>Sales!C87</f>
        <v/>
      </c>
      <c r="E87">
        <f>Sales!E87</f>
        <v/>
      </c>
      <c r="F87">
        <f>UPPER(B87)</f>
        <v/>
      </c>
      <c r="G87">
        <f>LOWER(B87)</f>
        <v/>
      </c>
      <c r="H87">
        <f>PROPER(B87)</f>
        <v/>
      </c>
      <c r="I87">
        <f>LEFT(A87,3)</f>
        <v/>
      </c>
      <c r="J87">
        <f>RIGHT(A87,4)</f>
        <v/>
      </c>
      <c r="K87">
        <f>LEN(C87)</f>
        <v/>
      </c>
      <c r="L87">
        <f>TRIM(C87)</f>
        <v/>
      </c>
      <c r="M87">
        <f>D87&amp;"-"&amp;B87</f>
        <v/>
      </c>
      <c r="N87">
        <f>D87&amp;"-"&amp;E87</f>
        <v/>
      </c>
      <c r="O87">
        <f>VALUE(MID(A87,FIND("-",A87)+1,LEN(A87)))</f>
        <v/>
      </c>
    </row>
    <row r="88">
      <c r="A88">
        <f>Sales!A88</f>
        <v/>
      </c>
      <c r="B88">
        <f>Sales!D88</f>
        <v/>
      </c>
      <c r="C88">
        <f>Sales!G88</f>
        <v/>
      </c>
      <c r="D88">
        <f>Sales!C88</f>
        <v/>
      </c>
      <c r="E88">
        <f>Sales!E88</f>
        <v/>
      </c>
      <c r="F88">
        <f>UPPER(B88)</f>
        <v/>
      </c>
      <c r="G88">
        <f>LOWER(B88)</f>
        <v/>
      </c>
      <c r="H88">
        <f>PROPER(B88)</f>
        <v/>
      </c>
      <c r="I88">
        <f>LEFT(A88,3)</f>
        <v/>
      </c>
      <c r="J88">
        <f>RIGHT(A88,4)</f>
        <v/>
      </c>
      <c r="K88">
        <f>LEN(C88)</f>
        <v/>
      </c>
      <c r="L88">
        <f>TRIM(C88)</f>
        <v/>
      </c>
      <c r="M88">
        <f>D88&amp;"-"&amp;B88</f>
        <v/>
      </c>
      <c r="N88">
        <f>D88&amp;"-"&amp;E88</f>
        <v/>
      </c>
      <c r="O88">
        <f>VALUE(MID(A88,FIND("-",A88)+1,LEN(A88)))</f>
        <v/>
      </c>
    </row>
    <row r="89">
      <c r="A89">
        <f>Sales!A89</f>
        <v/>
      </c>
      <c r="B89">
        <f>Sales!D89</f>
        <v/>
      </c>
      <c r="C89">
        <f>Sales!G89</f>
        <v/>
      </c>
      <c r="D89">
        <f>Sales!C89</f>
        <v/>
      </c>
      <c r="E89">
        <f>Sales!E89</f>
        <v/>
      </c>
      <c r="F89">
        <f>UPPER(B89)</f>
        <v/>
      </c>
      <c r="G89">
        <f>LOWER(B89)</f>
        <v/>
      </c>
      <c r="H89">
        <f>PROPER(B89)</f>
        <v/>
      </c>
      <c r="I89">
        <f>LEFT(A89,3)</f>
        <v/>
      </c>
      <c r="J89">
        <f>RIGHT(A89,4)</f>
        <v/>
      </c>
      <c r="K89">
        <f>LEN(C89)</f>
        <v/>
      </c>
      <c r="L89">
        <f>TRIM(C89)</f>
        <v/>
      </c>
      <c r="M89">
        <f>D89&amp;"-"&amp;B89</f>
        <v/>
      </c>
      <c r="N89">
        <f>D89&amp;"-"&amp;E89</f>
        <v/>
      </c>
      <c r="O89">
        <f>VALUE(MID(A89,FIND("-",A89)+1,LEN(A89)))</f>
        <v/>
      </c>
    </row>
    <row r="90">
      <c r="A90">
        <f>Sales!A90</f>
        <v/>
      </c>
      <c r="B90">
        <f>Sales!D90</f>
        <v/>
      </c>
      <c r="C90">
        <f>Sales!G90</f>
        <v/>
      </c>
      <c r="D90">
        <f>Sales!C90</f>
        <v/>
      </c>
      <c r="E90">
        <f>Sales!E90</f>
        <v/>
      </c>
      <c r="F90">
        <f>UPPER(B90)</f>
        <v/>
      </c>
      <c r="G90">
        <f>LOWER(B90)</f>
        <v/>
      </c>
      <c r="H90">
        <f>PROPER(B90)</f>
        <v/>
      </c>
      <c r="I90">
        <f>LEFT(A90,3)</f>
        <v/>
      </c>
      <c r="J90">
        <f>RIGHT(A90,4)</f>
        <v/>
      </c>
      <c r="K90">
        <f>LEN(C90)</f>
        <v/>
      </c>
      <c r="L90">
        <f>TRIM(C90)</f>
        <v/>
      </c>
      <c r="M90">
        <f>D90&amp;"-"&amp;B90</f>
        <v/>
      </c>
      <c r="N90">
        <f>D90&amp;"-"&amp;E90</f>
        <v/>
      </c>
      <c r="O90">
        <f>VALUE(MID(A90,FIND("-",A90)+1,LEN(A90)))</f>
        <v/>
      </c>
    </row>
    <row r="91">
      <c r="A91">
        <f>Sales!A91</f>
        <v/>
      </c>
      <c r="B91">
        <f>Sales!D91</f>
        <v/>
      </c>
      <c r="C91">
        <f>Sales!G91</f>
        <v/>
      </c>
      <c r="D91">
        <f>Sales!C91</f>
        <v/>
      </c>
      <c r="E91">
        <f>Sales!E91</f>
        <v/>
      </c>
      <c r="F91">
        <f>UPPER(B91)</f>
        <v/>
      </c>
      <c r="G91">
        <f>LOWER(B91)</f>
        <v/>
      </c>
      <c r="H91">
        <f>PROPER(B91)</f>
        <v/>
      </c>
      <c r="I91">
        <f>LEFT(A91,3)</f>
        <v/>
      </c>
      <c r="J91">
        <f>RIGHT(A91,4)</f>
        <v/>
      </c>
      <c r="K91">
        <f>LEN(C91)</f>
        <v/>
      </c>
      <c r="L91">
        <f>TRIM(C91)</f>
        <v/>
      </c>
      <c r="M91">
        <f>D91&amp;"-"&amp;B91</f>
        <v/>
      </c>
      <c r="N91">
        <f>D91&amp;"-"&amp;E91</f>
        <v/>
      </c>
      <c r="O91">
        <f>VALUE(MID(A91,FIND("-",A91)+1,LEN(A91)))</f>
        <v/>
      </c>
    </row>
    <row r="92">
      <c r="A92">
        <f>Sales!A92</f>
        <v/>
      </c>
      <c r="B92">
        <f>Sales!D92</f>
        <v/>
      </c>
      <c r="C92">
        <f>Sales!G92</f>
        <v/>
      </c>
      <c r="D92">
        <f>Sales!C92</f>
        <v/>
      </c>
      <c r="E92">
        <f>Sales!E92</f>
        <v/>
      </c>
      <c r="F92">
        <f>UPPER(B92)</f>
        <v/>
      </c>
      <c r="G92">
        <f>LOWER(B92)</f>
        <v/>
      </c>
      <c r="H92">
        <f>PROPER(B92)</f>
        <v/>
      </c>
      <c r="I92">
        <f>LEFT(A92,3)</f>
        <v/>
      </c>
      <c r="J92">
        <f>RIGHT(A92,4)</f>
        <v/>
      </c>
      <c r="K92">
        <f>LEN(C92)</f>
        <v/>
      </c>
      <c r="L92">
        <f>TRIM(C92)</f>
        <v/>
      </c>
      <c r="M92">
        <f>D92&amp;"-"&amp;B92</f>
        <v/>
      </c>
      <c r="N92">
        <f>D92&amp;"-"&amp;E92</f>
        <v/>
      </c>
      <c r="O92">
        <f>VALUE(MID(A92,FIND("-",A92)+1,LEN(A92)))</f>
        <v/>
      </c>
    </row>
    <row r="93">
      <c r="A93">
        <f>Sales!A93</f>
        <v/>
      </c>
      <c r="B93">
        <f>Sales!D93</f>
        <v/>
      </c>
      <c r="C93">
        <f>Sales!G93</f>
        <v/>
      </c>
      <c r="D93">
        <f>Sales!C93</f>
        <v/>
      </c>
      <c r="E93">
        <f>Sales!E93</f>
        <v/>
      </c>
      <c r="F93">
        <f>UPPER(B93)</f>
        <v/>
      </c>
      <c r="G93">
        <f>LOWER(B93)</f>
        <v/>
      </c>
      <c r="H93">
        <f>PROPER(B93)</f>
        <v/>
      </c>
      <c r="I93">
        <f>LEFT(A93,3)</f>
        <v/>
      </c>
      <c r="J93">
        <f>RIGHT(A93,4)</f>
        <v/>
      </c>
      <c r="K93">
        <f>LEN(C93)</f>
        <v/>
      </c>
      <c r="L93">
        <f>TRIM(C93)</f>
        <v/>
      </c>
      <c r="M93">
        <f>D93&amp;"-"&amp;B93</f>
        <v/>
      </c>
      <c r="N93">
        <f>D93&amp;"-"&amp;E93</f>
        <v/>
      </c>
      <c r="O93">
        <f>VALUE(MID(A93,FIND("-",A93)+1,LEN(A93)))</f>
        <v/>
      </c>
    </row>
    <row r="94">
      <c r="A94">
        <f>Sales!A94</f>
        <v/>
      </c>
      <c r="B94">
        <f>Sales!D94</f>
        <v/>
      </c>
      <c r="C94">
        <f>Sales!G94</f>
        <v/>
      </c>
      <c r="D94">
        <f>Sales!C94</f>
        <v/>
      </c>
      <c r="E94">
        <f>Sales!E94</f>
        <v/>
      </c>
      <c r="F94">
        <f>UPPER(B94)</f>
        <v/>
      </c>
      <c r="G94">
        <f>LOWER(B94)</f>
        <v/>
      </c>
      <c r="H94">
        <f>PROPER(B94)</f>
        <v/>
      </c>
      <c r="I94">
        <f>LEFT(A94,3)</f>
        <v/>
      </c>
      <c r="J94">
        <f>RIGHT(A94,4)</f>
        <v/>
      </c>
      <c r="K94">
        <f>LEN(C94)</f>
        <v/>
      </c>
      <c r="L94">
        <f>TRIM(C94)</f>
        <v/>
      </c>
      <c r="M94">
        <f>D94&amp;"-"&amp;B94</f>
        <v/>
      </c>
      <c r="N94">
        <f>D94&amp;"-"&amp;E94</f>
        <v/>
      </c>
      <c r="O94">
        <f>VALUE(MID(A94,FIND("-",A94)+1,LEN(A94)))</f>
        <v/>
      </c>
    </row>
    <row r="95">
      <c r="A95">
        <f>Sales!A95</f>
        <v/>
      </c>
      <c r="B95">
        <f>Sales!D95</f>
        <v/>
      </c>
      <c r="C95">
        <f>Sales!G95</f>
        <v/>
      </c>
      <c r="D95">
        <f>Sales!C95</f>
        <v/>
      </c>
      <c r="E95">
        <f>Sales!E95</f>
        <v/>
      </c>
      <c r="F95">
        <f>UPPER(B95)</f>
        <v/>
      </c>
      <c r="G95">
        <f>LOWER(B95)</f>
        <v/>
      </c>
      <c r="H95">
        <f>PROPER(B95)</f>
        <v/>
      </c>
      <c r="I95">
        <f>LEFT(A95,3)</f>
        <v/>
      </c>
      <c r="J95">
        <f>RIGHT(A95,4)</f>
        <v/>
      </c>
      <c r="K95">
        <f>LEN(C95)</f>
        <v/>
      </c>
      <c r="L95">
        <f>TRIM(C95)</f>
        <v/>
      </c>
      <c r="M95">
        <f>D95&amp;"-"&amp;B95</f>
        <v/>
      </c>
      <c r="N95">
        <f>D95&amp;"-"&amp;E95</f>
        <v/>
      </c>
      <c r="O95">
        <f>VALUE(MID(A95,FIND("-",A95)+1,LEN(A95)))</f>
        <v/>
      </c>
    </row>
    <row r="96">
      <c r="A96">
        <f>Sales!A96</f>
        <v/>
      </c>
      <c r="B96">
        <f>Sales!D96</f>
        <v/>
      </c>
      <c r="C96">
        <f>Sales!G96</f>
        <v/>
      </c>
      <c r="D96">
        <f>Sales!C96</f>
        <v/>
      </c>
      <c r="E96">
        <f>Sales!E96</f>
        <v/>
      </c>
      <c r="F96">
        <f>UPPER(B96)</f>
        <v/>
      </c>
      <c r="G96">
        <f>LOWER(B96)</f>
        <v/>
      </c>
      <c r="H96">
        <f>PROPER(B96)</f>
        <v/>
      </c>
      <c r="I96">
        <f>LEFT(A96,3)</f>
        <v/>
      </c>
      <c r="J96">
        <f>RIGHT(A96,4)</f>
        <v/>
      </c>
      <c r="K96">
        <f>LEN(C96)</f>
        <v/>
      </c>
      <c r="L96">
        <f>TRIM(C96)</f>
        <v/>
      </c>
      <c r="M96">
        <f>D96&amp;"-"&amp;B96</f>
        <v/>
      </c>
      <c r="N96">
        <f>D96&amp;"-"&amp;E96</f>
        <v/>
      </c>
      <c r="O96">
        <f>VALUE(MID(A96,FIND("-",A96)+1,LEN(A96)))</f>
        <v/>
      </c>
    </row>
    <row r="97">
      <c r="A97">
        <f>Sales!A97</f>
        <v/>
      </c>
      <c r="B97">
        <f>Sales!D97</f>
        <v/>
      </c>
      <c r="C97">
        <f>Sales!G97</f>
        <v/>
      </c>
      <c r="D97">
        <f>Sales!C97</f>
        <v/>
      </c>
      <c r="E97">
        <f>Sales!E97</f>
        <v/>
      </c>
      <c r="F97">
        <f>UPPER(B97)</f>
        <v/>
      </c>
      <c r="G97">
        <f>LOWER(B97)</f>
        <v/>
      </c>
      <c r="H97">
        <f>PROPER(B97)</f>
        <v/>
      </c>
      <c r="I97">
        <f>LEFT(A97,3)</f>
        <v/>
      </c>
      <c r="J97">
        <f>RIGHT(A97,4)</f>
        <v/>
      </c>
      <c r="K97">
        <f>LEN(C97)</f>
        <v/>
      </c>
      <c r="L97">
        <f>TRIM(C97)</f>
        <v/>
      </c>
      <c r="M97">
        <f>D97&amp;"-"&amp;B97</f>
        <v/>
      </c>
      <c r="N97">
        <f>D97&amp;"-"&amp;E97</f>
        <v/>
      </c>
      <c r="O97">
        <f>VALUE(MID(A97,FIND("-",A97)+1,LEN(A97)))</f>
        <v/>
      </c>
    </row>
    <row r="98">
      <c r="A98">
        <f>Sales!A98</f>
        <v/>
      </c>
      <c r="B98">
        <f>Sales!D98</f>
        <v/>
      </c>
      <c r="C98">
        <f>Sales!G98</f>
        <v/>
      </c>
      <c r="D98">
        <f>Sales!C98</f>
        <v/>
      </c>
      <c r="E98">
        <f>Sales!E98</f>
        <v/>
      </c>
      <c r="F98">
        <f>UPPER(B98)</f>
        <v/>
      </c>
      <c r="G98">
        <f>LOWER(B98)</f>
        <v/>
      </c>
      <c r="H98">
        <f>PROPER(B98)</f>
        <v/>
      </c>
      <c r="I98">
        <f>LEFT(A98,3)</f>
        <v/>
      </c>
      <c r="J98">
        <f>RIGHT(A98,4)</f>
        <v/>
      </c>
      <c r="K98">
        <f>LEN(C98)</f>
        <v/>
      </c>
      <c r="L98">
        <f>TRIM(C98)</f>
        <v/>
      </c>
      <c r="M98">
        <f>D98&amp;"-"&amp;B98</f>
        <v/>
      </c>
      <c r="N98">
        <f>D98&amp;"-"&amp;E98</f>
        <v/>
      </c>
      <c r="O98">
        <f>VALUE(MID(A98,FIND("-",A98)+1,LEN(A98)))</f>
        <v/>
      </c>
    </row>
    <row r="99">
      <c r="A99">
        <f>Sales!A99</f>
        <v/>
      </c>
      <c r="B99">
        <f>Sales!D99</f>
        <v/>
      </c>
      <c r="C99">
        <f>Sales!G99</f>
        <v/>
      </c>
      <c r="D99">
        <f>Sales!C99</f>
        <v/>
      </c>
      <c r="E99">
        <f>Sales!E99</f>
        <v/>
      </c>
      <c r="F99">
        <f>UPPER(B99)</f>
        <v/>
      </c>
      <c r="G99">
        <f>LOWER(B99)</f>
        <v/>
      </c>
      <c r="H99">
        <f>PROPER(B99)</f>
        <v/>
      </c>
      <c r="I99">
        <f>LEFT(A99,3)</f>
        <v/>
      </c>
      <c r="J99">
        <f>RIGHT(A99,4)</f>
        <v/>
      </c>
      <c r="K99">
        <f>LEN(C99)</f>
        <v/>
      </c>
      <c r="L99">
        <f>TRIM(C99)</f>
        <v/>
      </c>
      <c r="M99">
        <f>D99&amp;"-"&amp;B99</f>
        <v/>
      </c>
      <c r="N99">
        <f>D99&amp;"-"&amp;E99</f>
        <v/>
      </c>
      <c r="O99">
        <f>VALUE(MID(A99,FIND("-",A99)+1,LEN(A99)))</f>
        <v/>
      </c>
    </row>
    <row r="100">
      <c r="A100">
        <f>Sales!A100</f>
        <v/>
      </c>
      <c r="B100">
        <f>Sales!D100</f>
        <v/>
      </c>
      <c r="C100">
        <f>Sales!G100</f>
        <v/>
      </c>
      <c r="D100">
        <f>Sales!C100</f>
        <v/>
      </c>
      <c r="E100">
        <f>Sales!E100</f>
        <v/>
      </c>
      <c r="F100">
        <f>UPPER(B100)</f>
        <v/>
      </c>
      <c r="G100">
        <f>LOWER(B100)</f>
        <v/>
      </c>
      <c r="H100">
        <f>PROPER(B100)</f>
        <v/>
      </c>
      <c r="I100">
        <f>LEFT(A100,3)</f>
        <v/>
      </c>
      <c r="J100">
        <f>RIGHT(A100,4)</f>
        <v/>
      </c>
      <c r="K100">
        <f>LEN(C100)</f>
        <v/>
      </c>
      <c r="L100">
        <f>TRIM(C100)</f>
        <v/>
      </c>
      <c r="M100">
        <f>D100&amp;"-"&amp;B100</f>
        <v/>
      </c>
      <c r="N100">
        <f>D100&amp;"-"&amp;E100</f>
        <v/>
      </c>
      <c r="O100">
        <f>VALUE(MID(A100,FIND("-",A100)+1,LEN(A100)))</f>
        <v/>
      </c>
    </row>
    <row r="101">
      <c r="A101">
        <f>Sales!A101</f>
        <v/>
      </c>
      <c r="B101">
        <f>Sales!D101</f>
        <v/>
      </c>
      <c r="C101">
        <f>Sales!G101</f>
        <v/>
      </c>
      <c r="D101">
        <f>Sales!C101</f>
        <v/>
      </c>
      <c r="E101">
        <f>Sales!E101</f>
        <v/>
      </c>
      <c r="F101">
        <f>UPPER(B101)</f>
        <v/>
      </c>
      <c r="G101">
        <f>LOWER(B101)</f>
        <v/>
      </c>
      <c r="H101">
        <f>PROPER(B101)</f>
        <v/>
      </c>
      <c r="I101">
        <f>LEFT(A101,3)</f>
        <v/>
      </c>
      <c r="J101">
        <f>RIGHT(A101,4)</f>
        <v/>
      </c>
      <c r="K101">
        <f>LEN(C101)</f>
        <v/>
      </c>
      <c r="L101">
        <f>TRIM(C101)</f>
        <v/>
      </c>
      <c r="M101">
        <f>D101&amp;"-"&amp;B101</f>
        <v/>
      </c>
      <c r="N101">
        <f>D101&amp;"-"&amp;E101</f>
        <v/>
      </c>
      <c r="O101">
        <f>VALUE(MID(A101,FIND("-",A101)+1,LEN(A101)))</f>
        <v/>
      </c>
    </row>
    <row r="102">
      <c r="A102">
        <f>Sales!A102</f>
        <v/>
      </c>
      <c r="B102">
        <f>Sales!D102</f>
        <v/>
      </c>
      <c r="C102">
        <f>Sales!G102</f>
        <v/>
      </c>
      <c r="D102">
        <f>Sales!C102</f>
        <v/>
      </c>
      <c r="E102">
        <f>Sales!E102</f>
        <v/>
      </c>
      <c r="F102">
        <f>UPPER(B102)</f>
        <v/>
      </c>
      <c r="G102">
        <f>LOWER(B102)</f>
        <v/>
      </c>
      <c r="H102">
        <f>PROPER(B102)</f>
        <v/>
      </c>
      <c r="I102">
        <f>LEFT(A102,3)</f>
        <v/>
      </c>
      <c r="J102">
        <f>RIGHT(A102,4)</f>
        <v/>
      </c>
      <c r="K102">
        <f>LEN(C102)</f>
        <v/>
      </c>
      <c r="L102">
        <f>TRIM(C102)</f>
        <v/>
      </c>
      <c r="M102">
        <f>D102&amp;"-"&amp;B102</f>
        <v/>
      </c>
      <c r="N102">
        <f>D102&amp;"-"&amp;E102</f>
        <v/>
      </c>
      <c r="O102">
        <f>VALUE(MID(A102,FIND("-",A102)+1,LEN(A102)))</f>
        <v/>
      </c>
    </row>
    <row r="103">
      <c r="A103">
        <f>Sales!A103</f>
        <v/>
      </c>
      <c r="B103">
        <f>Sales!D103</f>
        <v/>
      </c>
      <c r="C103">
        <f>Sales!G103</f>
        <v/>
      </c>
      <c r="D103">
        <f>Sales!C103</f>
        <v/>
      </c>
      <c r="E103">
        <f>Sales!E103</f>
        <v/>
      </c>
      <c r="F103">
        <f>UPPER(B103)</f>
        <v/>
      </c>
      <c r="G103">
        <f>LOWER(B103)</f>
        <v/>
      </c>
      <c r="H103">
        <f>PROPER(B103)</f>
        <v/>
      </c>
      <c r="I103">
        <f>LEFT(A103,3)</f>
        <v/>
      </c>
      <c r="J103">
        <f>RIGHT(A103,4)</f>
        <v/>
      </c>
      <c r="K103">
        <f>LEN(C103)</f>
        <v/>
      </c>
      <c r="L103">
        <f>TRIM(C103)</f>
        <v/>
      </c>
      <c r="M103">
        <f>D103&amp;"-"&amp;B103</f>
        <v/>
      </c>
      <c r="N103">
        <f>D103&amp;"-"&amp;E103</f>
        <v/>
      </c>
      <c r="O103">
        <f>VALUE(MID(A103,FIND("-",A103)+1,LEN(A103)))</f>
        <v/>
      </c>
    </row>
    <row r="104">
      <c r="A104">
        <f>Sales!A104</f>
        <v/>
      </c>
      <c r="B104">
        <f>Sales!D104</f>
        <v/>
      </c>
      <c r="C104">
        <f>Sales!G104</f>
        <v/>
      </c>
      <c r="D104">
        <f>Sales!C104</f>
        <v/>
      </c>
      <c r="E104">
        <f>Sales!E104</f>
        <v/>
      </c>
      <c r="F104">
        <f>UPPER(B104)</f>
        <v/>
      </c>
      <c r="G104">
        <f>LOWER(B104)</f>
        <v/>
      </c>
      <c r="H104">
        <f>PROPER(B104)</f>
        <v/>
      </c>
      <c r="I104">
        <f>LEFT(A104,3)</f>
        <v/>
      </c>
      <c r="J104">
        <f>RIGHT(A104,4)</f>
        <v/>
      </c>
      <c r="K104">
        <f>LEN(C104)</f>
        <v/>
      </c>
      <c r="L104">
        <f>TRIM(C104)</f>
        <v/>
      </c>
      <c r="M104">
        <f>D104&amp;"-"&amp;B104</f>
        <v/>
      </c>
      <c r="N104">
        <f>D104&amp;"-"&amp;E104</f>
        <v/>
      </c>
      <c r="O104">
        <f>VALUE(MID(A104,FIND("-",A104)+1,LEN(A104)))</f>
        <v/>
      </c>
    </row>
    <row r="105">
      <c r="A105">
        <f>Sales!A105</f>
        <v/>
      </c>
      <c r="B105">
        <f>Sales!D105</f>
        <v/>
      </c>
      <c r="C105">
        <f>Sales!G105</f>
        <v/>
      </c>
      <c r="D105">
        <f>Sales!C105</f>
        <v/>
      </c>
      <c r="E105">
        <f>Sales!E105</f>
        <v/>
      </c>
      <c r="F105">
        <f>UPPER(B105)</f>
        <v/>
      </c>
      <c r="G105">
        <f>LOWER(B105)</f>
        <v/>
      </c>
      <c r="H105">
        <f>PROPER(B105)</f>
        <v/>
      </c>
      <c r="I105">
        <f>LEFT(A105,3)</f>
        <v/>
      </c>
      <c r="J105">
        <f>RIGHT(A105,4)</f>
        <v/>
      </c>
      <c r="K105">
        <f>LEN(C105)</f>
        <v/>
      </c>
      <c r="L105">
        <f>TRIM(C105)</f>
        <v/>
      </c>
      <c r="M105">
        <f>D105&amp;"-"&amp;B105</f>
        <v/>
      </c>
      <c r="N105">
        <f>D105&amp;"-"&amp;E105</f>
        <v/>
      </c>
      <c r="O105">
        <f>VALUE(MID(A105,FIND("-",A105)+1,LEN(A105)))</f>
        <v/>
      </c>
    </row>
    <row r="106">
      <c r="A106">
        <f>Sales!A106</f>
        <v/>
      </c>
      <c r="B106">
        <f>Sales!D106</f>
        <v/>
      </c>
      <c r="C106">
        <f>Sales!G106</f>
        <v/>
      </c>
      <c r="D106">
        <f>Sales!C106</f>
        <v/>
      </c>
      <c r="E106">
        <f>Sales!E106</f>
        <v/>
      </c>
      <c r="F106">
        <f>UPPER(B106)</f>
        <v/>
      </c>
      <c r="G106">
        <f>LOWER(B106)</f>
        <v/>
      </c>
      <c r="H106">
        <f>PROPER(B106)</f>
        <v/>
      </c>
      <c r="I106">
        <f>LEFT(A106,3)</f>
        <v/>
      </c>
      <c r="J106">
        <f>RIGHT(A106,4)</f>
        <v/>
      </c>
      <c r="K106">
        <f>LEN(C106)</f>
        <v/>
      </c>
      <c r="L106">
        <f>TRIM(C106)</f>
        <v/>
      </c>
      <c r="M106">
        <f>D106&amp;"-"&amp;B106</f>
        <v/>
      </c>
      <c r="N106">
        <f>D106&amp;"-"&amp;E106</f>
        <v/>
      </c>
      <c r="O106">
        <f>VALUE(MID(A106,FIND("-",A106)+1,LEN(A106)))</f>
        <v/>
      </c>
    </row>
    <row r="107">
      <c r="A107">
        <f>Sales!A107</f>
        <v/>
      </c>
      <c r="B107">
        <f>Sales!D107</f>
        <v/>
      </c>
      <c r="C107">
        <f>Sales!G107</f>
        <v/>
      </c>
      <c r="D107">
        <f>Sales!C107</f>
        <v/>
      </c>
      <c r="E107">
        <f>Sales!E107</f>
        <v/>
      </c>
      <c r="F107">
        <f>UPPER(B107)</f>
        <v/>
      </c>
      <c r="G107">
        <f>LOWER(B107)</f>
        <v/>
      </c>
      <c r="H107">
        <f>PROPER(B107)</f>
        <v/>
      </c>
      <c r="I107">
        <f>LEFT(A107,3)</f>
        <v/>
      </c>
      <c r="J107">
        <f>RIGHT(A107,4)</f>
        <v/>
      </c>
      <c r="K107">
        <f>LEN(C107)</f>
        <v/>
      </c>
      <c r="L107">
        <f>TRIM(C107)</f>
        <v/>
      </c>
      <c r="M107">
        <f>D107&amp;"-"&amp;B107</f>
        <v/>
      </c>
      <c r="N107">
        <f>D107&amp;"-"&amp;E107</f>
        <v/>
      </c>
      <c r="O107">
        <f>VALUE(MID(A107,FIND("-",A107)+1,LEN(A107)))</f>
        <v/>
      </c>
    </row>
    <row r="108">
      <c r="A108">
        <f>Sales!A108</f>
        <v/>
      </c>
      <c r="B108">
        <f>Sales!D108</f>
        <v/>
      </c>
      <c r="C108">
        <f>Sales!G108</f>
        <v/>
      </c>
      <c r="D108">
        <f>Sales!C108</f>
        <v/>
      </c>
      <c r="E108">
        <f>Sales!E108</f>
        <v/>
      </c>
      <c r="F108">
        <f>UPPER(B108)</f>
        <v/>
      </c>
      <c r="G108">
        <f>LOWER(B108)</f>
        <v/>
      </c>
      <c r="H108">
        <f>PROPER(B108)</f>
        <v/>
      </c>
      <c r="I108">
        <f>LEFT(A108,3)</f>
        <v/>
      </c>
      <c r="J108">
        <f>RIGHT(A108,4)</f>
        <v/>
      </c>
      <c r="K108">
        <f>LEN(C108)</f>
        <v/>
      </c>
      <c r="L108">
        <f>TRIM(C108)</f>
        <v/>
      </c>
      <c r="M108">
        <f>D108&amp;"-"&amp;B108</f>
        <v/>
      </c>
      <c r="N108">
        <f>D108&amp;"-"&amp;E108</f>
        <v/>
      </c>
      <c r="O108">
        <f>VALUE(MID(A108,FIND("-",A108)+1,LEN(A108)))</f>
        <v/>
      </c>
    </row>
    <row r="109">
      <c r="A109">
        <f>Sales!A109</f>
        <v/>
      </c>
      <c r="B109">
        <f>Sales!D109</f>
        <v/>
      </c>
      <c r="C109">
        <f>Sales!G109</f>
        <v/>
      </c>
      <c r="D109">
        <f>Sales!C109</f>
        <v/>
      </c>
      <c r="E109">
        <f>Sales!E109</f>
        <v/>
      </c>
      <c r="F109">
        <f>UPPER(B109)</f>
        <v/>
      </c>
      <c r="G109">
        <f>LOWER(B109)</f>
        <v/>
      </c>
      <c r="H109">
        <f>PROPER(B109)</f>
        <v/>
      </c>
      <c r="I109">
        <f>LEFT(A109,3)</f>
        <v/>
      </c>
      <c r="J109">
        <f>RIGHT(A109,4)</f>
        <v/>
      </c>
      <c r="K109">
        <f>LEN(C109)</f>
        <v/>
      </c>
      <c r="L109">
        <f>TRIM(C109)</f>
        <v/>
      </c>
      <c r="M109">
        <f>D109&amp;"-"&amp;B109</f>
        <v/>
      </c>
      <c r="N109">
        <f>D109&amp;"-"&amp;E109</f>
        <v/>
      </c>
      <c r="O109">
        <f>VALUE(MID(A109,FIND("-",A109)+1,LEN(A109)))</f>
        <v/>
      </c>
    </row>
    <row r="110">
      <c r="A110">
        <f>Sales!A110</f>
        <v/>
      </c>
      <c r="B110">
        <f>Sales!D110</f>
        <v/>
      </c>
      <c r="C110">
        <f>Sales!G110</f>
        <v/>
      </c>
      <c r="D110">
        <f>Sales!C110</f>
        <v/>
      </c>
      <c r="E110">
        <f>Sales!E110</f>
        <v/>
      </c>
      <c r="F110">
        <f>UPPER(B110)</f>
        <v/>
      </c>
      <c r="G110">
        <f>LOWER(B110)</f>
        <v/>
      </c>
      <c r="H110">
        <f>PROPER(B110)</f>
        <v/>
      </c>
      <c r="I110">
        <f>LEFT(A110,3)</f>
        <v/>
      </c>
      <c r="J110">
        <f>RIGHT(A110,4)</f>
        <v/>
      </c>
      <c r="K110">
        <f>LEN(C110)</f>
        <v/>
      </c>
      <c r="L110">
        <f>TRIM(C110)</f>
        <v/>
      </c>
      <c r="M110">
        <f>D110&amp;"-"&amp;B110</f>
        <v/>
      </c>
      <c r="N110">
        <f>D110&amp;"-"&amp;E110</f>
        <v/>
      </c>
      <c r="O110">
        <f>VALUE(MID(A110,FIND("-",A110)+1,LEN(A110)))</f>
        <v/>
      </c>
    </row>
    <row r="111">
      <c r="A111">
        <f>Sales!A111</f>
        <v/>
      </c>
      <c r="B111">
        <f>Sales!D111</f>
        <v/>
      </c>
      <c r="C111">
        <f>Sales!G111</f>
        <v/>
      </c>
      <c r="D111">
        <f>Sales!C111</f>
        <v/>
      </c>
      <c r="E111">
        <f>Sales!E111</f>
        <v/>
      </c>
      <c r="F111">
        <f>UPPER(B111)</f>
        <v/>
      </c>
      <c r="G111">
        <f>LOWER(B111)</f>
        <v/>
      </c>
      <c r="H111">
        <f>PROPER(B111)</f>
        <v/>
      </c>
      <c r="I111">
        <f>LEFT(A111,3)</f>
        <v/>
      </c>
      <c r="J111">
        <f>RIGHT(A111,4)</f>
        <v/>
      </c>
      <c r="K111">
        <f>LEN(C111)</f>
        <v/>
      </c>
      <c r="L111">
        <f>TRIM(C111)</f>
        <v/>
      </c>
      <c r="M111">
        <f>D111&amp;"-"&amp;B111</f>
        <v/>
      </c>
      <c r="N111">
        <f>D111&amp;"-"&amp;E111</f>
        <v/>
      </c>
      <c r="O111">
        <f>VALUE(MID(A111,FIND("-",A111)+1,LEN(A111)))</f>
        <v/>
      </c>
    </row>
    <row r="112">
      <c r="A112">
        <f>Sales!A112</f>
        <v/>
      </c>
      <c r="B112">
        <f>Sales!D112</f>
        <v/>
      </c>
      <c r="C112">
        <f>Sales!G112</f>
        <v/>
      </c>
      <c r="D112">
        <f>Sales!C112</f>
        <v/>
      </c>
      <c r="E112">
        <f>Sales!E112</f>
        <v/>
      </c>
      <c r="F112">
        <f>UPPER(B112)</f>
        <v/>
      </c>
      <c r="G112">
        <f>LOWER(B112)</f>
        <v/>
      </c>
      <c r="H112">
        <f>PROPER(B112)</f>
        <v/>
      </c>
      <c r="I112">
        <f>LEFT(A112,3)</f>
        <v/>
      </c>
      <c r="J112">
        <f>RIGHT(A112,4)</f>
        <v/>
      </c>
      <c r="K112">
        <f>LEN(C112)</f>
        <v/>
      </c>
      <c r="L112">
        <f>TRIM(C112)</f>
        <v/>
      </c>
      <c r="M112">
        <f>D112&amp;"-"&amp;B112</f>
        <v/>
      </c>
      <c r="N112">
        <f>D112&amp;"-"&amp;E112</f>
        <v/>
      </c>
      <c r="O112">
        <f>VALUE(MID(A112,FIND("-",A112)+1,LEN(A112)))</f>
        <v/>
      </c>
    </row>
    <row r="113">
      <c r="A113">
        <f>Sales!A113</f>
        <v/>
      </c>
      <c r="B113">
        <f>Sales!D113</f>
        <v/>
      </c>
      <c r="C113">
        <f>Sales!G113</f>
        <v/>
      </c>
      <c r="D113">
        <f>Sales!C113</f>
        <v/>
      </c>
      <c r="E113">
        <f>Sales!E113</f>
        <v/>
      </c>
      <c r="F113">
        <f>UPPER(B113)</f>
        <v/>
      </c>
      <c r="G113">
        <f>LOWER(B113)</f>
        <v/>
      </c>
      <c r="H113">
        <f>PROPER(B113)</f>
        <v/>
      </c>
      <c r="I113">
        <f>LEFT(A113,3)</f>
        <v/>
      </c>
      <c r="J113">
        <f>RIGHT(A113,4)</f>
        <v/>
      </c>
      <c r="K113">
        <f>LEN(C113)</f>
        <v/>
      </c>
      <c r="L113">
        <f>TRIM(C113)</f>
        <v/>
      </c>
      <c r="M113">
        <f>D113&amp;"-"&amp;B113</f>
        <v/>
      </c>
      <c r="N113">
        <f>D113&amp;"-"&amp;E113</f>
        <v/>
      </c>
      <c r="O113">
        <f>VALUE(MID(A113,FIND("-",A113)+1,LEN(A113)))</f>
        <v/>
      </c>
    </row>
    <row r="114">
      <c r="A114">
        <f>Sales!A114</f>
        <v/>
      </c>
      <c r="B114">
        <f>Sales!D114</f>
        <v/>
      </c>
      <c r="C114">
        <f>Sales!G114</f>
        <v/>
      </c>
      <c r="D114">
        <f>Sales!C114</f>
        <v/>
      </c>
      <c r="E114">
        <f>Sales!E114</f>
        <v/>
      </c>
      <c r="F114">
        <f>UPPER(B114)</f>
        <v/>
      </c>
      <c r="G114">
        <f>LOWER(B114)</f>
        <v/>
      </c>
      <c r="H114">
        <f>PROPER(B114)</f>
        <v/>
      </c>
      <c r="I114">
        <f>LEFT(A114,3)</f>
        <v/>
      </c>
      <c r="J114">
        <f>RIGHT(A114,4)</f>
        <v/>
      </c>
      <c r="K114">
        <f>LEN(C114)</f>
        <v/>
      </c>
      <c r="L114">
        <f>TRIM(C114)</f>
        <v/>
      </c>
      <c r="M114">
        <f>D114&amp;"-"&amp;B114</f>
        <v/>
      </c>
      <c r="N114">
        <f>D114&amp;"-"&amp;E114</f>
        <v/>
      </c>
      <c r="O114">
        <f>VALUE(MID(A114,FIND("-",A114)+1,LEN(A114)))</f>
        <v/>
      </c>
    </row>
    <row r="115">
      <c r="A115">
        <f>Sales!A115</f>
        <v/>
      </c>
      <c r="B115">
        <f>Sales!D115</f>
        <v/>
      </c>
      <c r="C115">
        <f>Sales!G115</f>
        <v/>
      </c>
      <c r="D115">
        <f>Sales!C115</f>
        <v/>
      </c>
      <c r="E115">
        <f>Sales!E115</f>
        <v/>
      </c>
      <c r="F115">
        <f>UPPER(B115)</f>
        <v/>
      </c>
      <c r="G115">
        <f>LOWER(B115)</f>
        <v/>
      </c>
      <c r="H115">
        <f>PROPER(B115)</f>
        <v/>
      </c>
      <c r="I115">
        <f>LEFT(A115,3)</f>
        <v/>
      </c>
      <c r="J115">
        <f>RIGHT(A115,4)</f>
        <v/>
      </c>
      <c r="K115">
        <f>LEN(C115)</f>
        <v/>
      </c>
      <c r="L115">
        <f>TRIM(C115)</f>
        <v/>
      </c>
      <c r="M115">
        <f>D115&amp;"-"&amp;B115</f>
        <v/>
      </c>
      <c r="N115">
        <f>D115&amp;"-"&amp;E115</f>
        <v/>
      </c>
      <c r="O115">
        <f>VALUE(MID(A115,FIND("-",A115)+1,LEN(A115)))</f>
        <v/>
      </c>
    </row>
    <row r="116">
      <c r="A116">
        <f>Sales!A116</f>
        <v/>
      </c>
      <c r="B116">
        <f>Sales!D116</f>
        <v/>
      </c>
      <c r="C116">
        <f>Sales!G116</f>
        <v/>
      </c>
      <c r="D116">
        <f>Sales!C116</f>
        <v/>
      </c>
      <c r="E116">
        <f>Sales!E116</f>
        <v/>
      </c>
      <c r="F116">
        <f>UPPER(B116)</f>
        <v/>
      </c>
      <c r="G116">
        <f>LOWER(B116)</f>
        <v/>
      </c>
      <c r="H116">
        <f>PROPER(B116)</f>
        <v/>
      </c>
      <c r="I116">
        <f>LEFT(A116,3)</f>
        <v/>
      </c>
      <c r="J116">
        <f>RIGHT(A116,4)</f>
        <v/>
      </c>
      <c r="K116">
        <f>LEN(C116)</f>
        <v/>
      </c>
      <c r="L116">
        <f>TRIM(C116)</f>
        <v/>
      </c>
      <c r="M116">
        <f>D116&amp;"-"&amp;B116</f>
        <v/>
      </c>
      <c r="N116">
        <f>D116&amp;"-"&amp;E116</f>
        <v/>
      </c>
      <c r="O116">
        <f>VALUE(MID(A116,FIND("-",A116)+1,LEN(A116)))</f>
        <v/>
      </c>
    </row>
    <row r="117">
      <c r="A117">
        <f>Sales!A117</f>
        <v/>
      </c>
      <c r="B117">
        <f>Sales!D117</f>
        <v/>
      </c>
      <c r="C117">
        <f>Sales!G117</f>
        <v/>
      </c>
      <c r="D117">
        <f>Sales!C117</f>
        <v/>
      </c>
      <c r="E117">
        <f>Sales!E117</f>
        <v/>
      </c>
      <c r="F117">
        <f>UPPER(B117)</f>
        <v/>
      </c>
      <c r="G117">
        <f>LOWER(B117)</f>
        <v/>
      </c>
      <c r="H117">
        <f>PROPER(B117)</f>
        <v/>
      </c>
      <c r="I117">
        <f>LEFT(A117,3)</f>
        <v/>
      </c>
      <c r="J117">
        <f>RIGHT(A117,4)</f>
        <v/>
      </c>
      <c r="K117">
        <f>LEN(C117)</f>
        <v/>
      </c>
      <c r="L117">
        <f>TRIM(C117)</f>
        <v/>
      </c>
      <c r="M117">
        <f>D117&amp;"-"&amp;B117</f>
        <v/>
      </c>
      <c r="N117">
        <f>D117&amp;"-"&amp;E117</f>
        <v/>
      </c>
      <c r="O117">
        <f>VALUE(MID(A117,FIND("-",A117)+1,LEN(A117)))</f>
        <v/>
      </c>
    </row>
    <row r="118">
      <c r="A118">
        <f>Sales!A118</f>
        <v/>
      </c>
      <c r="B118">
        <f>Sales!D118</f>
        <v/>
      </c>
      <c r="C118">
        <f>Sales!G118</f>
        <v/>
      </c>
      <c r="D118">
        <f>Sales!C118</f>
        <v/>
      </c>
      <c r="E118">
        <f>Sales!E118</f>
        <v/>
      </c>
      <c r="F118">
        <f>UPPER(B118)</f>
        <v/>
      </c>
      <c r="G118">
        <f>LOWER(B118)</f>
        <v/>
      </c>
      <c r="H118">
        <f>PROPER(B118)</f>
        <v/>
      </c>
      <c r="I118">
        <f>LEFT(A118,3)</f>
        <v/>
      </c>
      <c r="J118">
        <f>RIGHT(A118,4)</f>
        <v/>
      </c>
      <c r="K118">
        <f>LEN(C118)</f>
        <v/>
      </c>
      <c r="L118">
        <f>TRIM(C118)</f>
        <v/>
      </c>
      <c r="M118">
        <f>D118&amp;"-"&amp;B118</f>
        <v/>
      </c>
      <c r="N118">
        <f>D118&amp;"-"&amp;E118</f>
        <v/>
      </c>
      <c r="O118">
        <f>VALUE(MID(A118,FIND("-",A118)+1,LEN(A118)))</f>
        <v/>
      </c>
    </row>
    <row r="119">
      <c r="A119">
        <f>Sales!A119</f>
        <v/>
      </c>
      <c r="B119">
        <f>Sales!D119</f>
        <v/>
      </c>
      <c r="C119">
        <f>Sales!G119</f>
        <v/>
      </c>
      <c r="D119">
        <f>Sales!C119</f>
        <v/>
      </c>
      <c r="E119">
        <f>Sales!E119</f>
        <v/>
      </c>
      <c r="F119">
        <f>UPPER(B119)</f>
        <v/>
      </c>
      <c r="G119">
        <f>LOWER(B119)</f>
        <v/>
      </c>
      <c r="H119">
        <f>PROPER(B119)</f>
        <v/>
      </c>
      <c r="I119">
        <f>LEFT(A119,3)</f>
        <v/>
      </c>
      <c r="J119">
        <f>RIGHT(A119,4)</f>
        <v/>
      </c>
      <c r="K119">
        <f>LEN(C119)</f>
        <v/>
      </c>
      <c r="L119">
        <f>TRIM(C119)</f>
        <v/>
      </c>
      <c r="M119">
        <f>D119&amp;"-"&amp;B119</f>
        <v/>
      </c>
      <c r="N119">
        <f>D119&amp;"-"&amp;E119</f>
        <v/>
      </c>
      <c r="O119">
        <f>VALUE(MID(A119,FIND("-",A119)+1,LEN(A119)))</f>
        <v/>
      </c>
    </row>
    <row r="120">
      <c r="A120">
        <f>Sales!A120</f>
        <v/>
      </c>
      <c r="B120">
        <f>Sales!D120</f>
        <v/>
      </c>
      <c r="C120">
        <f>Sales!G120</f>
        <v/>
      </c>
      <c r="D120">
        <f>Sales!C120</f>
        <v/>
      </c>
      <c r="E120">
        <f>Sales!E120</f>
        <v/>
      </c>
      <c r="F120">
        <f>UPPER(B120)</f>
        <v/>
      </c>
      <c r="G120">
        <f>LOWER(B120)</f>
        <v/>
      </c>
      <c r="H120">
        <f>PROPER(B120)</f>
        <v/>
      </c>
      <c r="I120">
        <f>LEFT(A120,3)</f>
        <v/>
      </c>
      <c r="J120">
        <f>RIGHT(A120,4)</f>
        <v/>
      </c>
      <c r="K120">
        <f>LEN(C120)</f>
        <v/>
      </c>
      <c r="L120">
        <f>TRIM(C120)</f>
        <v/>
      </c>
      <c r="M120">
        <f>D120&amp;"-"&amp;B120</f>
        <v/>
      </c>
      <c r="N120">
        <f>D120&amp;"-"&amp;E120</f>
        <v/>
      </c>
      <c r="O120">
        <f>VALUE(MID(A120,FIND("-",A120)+1,LEN(A120)))</f>
        <v/>
      </c>
    </row>
    <row r="121">
      <c r="A121">
        <f>Sales!A121</f>
        <v/>
      </c>
      <c r="B121">
        <f>Sales!D121</f>
        <v/>
      </c>
      <c r="C121">
        <f>Sales!G121</f>
        <v/>
      </c>
      <c r="D121">
        <f>Sales!C121</f>
        <v/>
      </c>
      <c r="E121">
        <f>Sales!E121</f>
        <v/>
      </c>
      <c r="F121">
        <f>UPPER(B121)</f>
        <v/>
      </c>
      <c r="G121">
        <f>LOWER(B121)</f>
        <v/>
      </c>
      <c r="H121">
        <f>PROPER(B121)</f>
        <v/>
      </c>
      <c r="I121">
        <f>LEFT(A121,3)</f>
        <v/>
      </c>
      <c r="J121">
        <f>RIGHT(A121,4)</f>
        <v/>
      </c>
      <c r="K121">
        <f>LEN(C121)</f>
        <v/>
      </c>
      <c r="L121">
        <f>TRIM(C121)</f>
        <v/>
      </c>
      <c r="M121">
        <f>D121&amp;"-"&amp;B121</f>
        <v/>
      </c>
      <c r="N121">
        <f>D121&amp;"-"&amp;E121</f>
        <v/>
      </c>
      <c r="O121">
        <f>VALUE(MID(A121,FIND("-",A121)+1,LEN(A121)))</f>
        <v/>
      </c>
    </row>
  </sheetData>
  <autoFilter ref="A1:O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Salesperson</t>
        </is>
      </c>
      <c r="B1" s="1" t="inlineStr">
        <is>
          <t>MonthlyTarget</t>
        </is>
      </c>
    </row>
    <row r="2">
      <c r="A2">
        <f>Targets!B2</f>
        <v/>
      </c>
      <c r="B2" s="3">
        <f>IFERROR(INDEX(Targets!$C$2:$C$9,MATCH(A2,Targets!$B$2:$B$9,0)),0)</f>
        <v/>
      </c>
    </row>
    <row r="3">
      <c r="A3">
        <f>Targets!B3</f>
        <v/>
      </c>
      <c r="B3" s="3">
        <f>IFERROR(INDEX(Targets!$C$2:$C$9,MATCH(A3,Targets!$B$2:$B$9,0)),0)</f>
        <v/>
      </c>
    </row>
    <row r="4">
      <c r="A4">
        <f>Targets!B4</f>
        <v/>
      </c>
      <c r="B4" s="3">
        <f>IFERROR(INDEX(Targets!$C$2:$C$9,MATCH(A4,Targets!$B$2:$B$9,0)),0)</f>
        <v/>
      </c>
    </row>
    <row r="5">
      <c r="A5">
        <f>Targets!B5</f>
        <v/>
      </c>
      <c r="B5" s="3">
        <f>IFERROR(INDEX(Targets!$C$2:$C$9,MATCH(A5,Targets!$B$2:$B$9,0)),0)</f>
        <v/>
      </c>
    </row>
    <row r="6">
      <c r="A6">
        <f>Targets!B6</f>
        <v/>
      </c>
      <c r="B6" s="3">
        <f>IFERROR(INDEX(Targets!$C$2:$C$9,MATCH(A6,Targets!$B$2:$B$9,0)),0)</f>
        <v/>
      </c>
    </row>
    <row r="7">
      <c r="A7">
        <f>Targets!B7</f>
        <v/>
      </c>
      <c r="B7" s="3">
        <f>IFERROR(INDEX(Targets!$C$2:$C$9,MATCH(A7,Targets!$B$2:$B$9,0)),0)</f>
        <v/>
      </c>
    </row>
    <row r="8">
      <c r="A8">
        <f>Targets!B8</f>
        <v/>
      </c>
      <c r="B8" s="3">
        <f>IFERROR(INDEX(Targets!$C$2:$C$9,MATCH(A8,Targets!$B$2:$B$9,0)),0)</f>
        <v/>
      </c>
    </row>
    <row r="9">
      <c r="A9">
        <f>Targets!B9</f>
        <v/>
      </c>
      <c r="B9" s="3">
        <f>IFERROR(INDEX(Targets!$C$2:$C$9,MATCH(A9,Targets!$B$2:$B$9,0)),0)</f>
        <v/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</cols>
  <sheetData>
    <row r="1">
      <c r="A1" s="1" t="inlineStr">
        <is>
          <t>Salesperson</t>
        </is>
      </c>
      <c r="B1" s="1" t="inlineStr">
        <is>
          <t>Region</t>
        </is>
      </c>
      <c r="C1" s="1" t="inlineStr">
        <is>
          <t>MonthlyTarget</t>
        </is>
      </c>
    </row>
    <row r="2">
      <c r="A2">
        <f>Targets!B2</f>
        <v/>
      </c>
      <c r="B2">
        <f>IFERROR(INDEX(Targets!$A$2:$A$9,MATCH(A2,Targets!$B$2:$B$9,0)),"")</f>
        <v/>
      </c>
      <c r="C2" s="3">
        <f>IFERROR(INDEX(Targets!$C$2:$C$9,MATCH(A2,Targets!$B$2:$B$9,0)),0)</f>
        <v/>
      </c>
    </row>
    <row r="3">
      <c r="A3">
        <f>Targets!B3</f>
        <v/>
      </c>
      <c r="B3">
        <f>IFERROR(INDEX(Targets!$A$2:$A$9,MATCH(A3,Targets!$B$2:$B$9,0)),"")</f>
        <v/>
      </c>
      <c r="C3" s="3">
        <f>IFERROR(INDEX(Targets!$C$2:$C$9,MATCH(A3,Targets!$B$2:$B$9,0)),0)</f>
        <v/>
      </c>
    </row>
    <row r="4">
      <c r="A4">
        <f>Targets!B4</f>
        <v/>
      </c>
      <c r="B4">
        <f>IFERROR(INDEX(Targets!$A$2:$A$9,MATCH(A4,Targets!$B$2:$B$9,0)),"")</f>
        <v/>
      </c>
      <c r="C4" s="3">
        <f>IFERROR(INDEX(Targets!$C$2:$C$9,MATCH(A4,Targets!$B$2:$B$9,0)),0)</f>
        <v/>
      </c>
    </row>
    <row r="5">
      <c r="A5">
        <f>Targets!B5</f>
        <v/>
      </c>
      <c r="B5">
        <f>IFERROR(INDEX(Targets!$A$2:$A$9,MATCH(A5,Targets!$B$2:$B$9,0)),"")</f>
        <v/>
      </c>
      <c r="C5" s="3">
        <f>IFERROR(INDEX(Targets!$C$2:$C$9,MATCH(A5,Targets!$B$2:$B$9,0)),0)</f>
        <v/>
      </c>
    </row>
    <row r="6">
      <c r="A6">
        <f>Targets!B6</f>
        <v/>
      </c>
      <c r="B6">
        <f>IFERROR(INDEX(Targets!$A$2:$A$9,MATCH(A6,Targets!$B$2:$B$9,0)),"")</f>
        <v/>
      </c>
      <c r="C6" s="3">
        <f>IFERROR(INDEX(Targets!$C$2:$C$9,MATCH(A6,Targets!$B$2:$B$9,0)),0)</f>
        <v/>
      </c>
    </row>
    <row r="7">
      <c r="A7">
        <f>Targets!B7</f>
        <v/>
      </c>
      <c r="B7">
        <f>IFERROR(INDEX(Targets!$A$2:$A$9,MATCH(A7,Targets!$B$2:$B$9,0)),"")</f>
        <v/>
      </c>
      <c r="C7" s="3">
        <f>IFERROR(INDEX(Targets!$C$2:$C$9,MATCH(A7,Targets!$B$2:$B$9,0)),0)</f>
        <v/>
      </c>
    </row>
    <row r="8">
      <c r="A8">
        <f>Targets!B8</f>
        <v/>
      </c>
      <c r="B8">
        <f>IFERROR(INDEX(Targets!$A$2:$A$9,MATCH(A8,Targets!$B$2:$B$9,0)),"")</f>
        <v/>
      </c>
      <c r="C8" s="3">
        <f>IFERROR(INDEX(Targets!$C$2:$C$9,MATCH(A8,Targets!$B$2:$B$9,0)),0)</f>
        <v/>
      </c>
    </row>
    <row r="9">
      <c r="A9">
        <f>Targets!B9</f>
        <v/>
      </c>
      <c r="B9">
        <f>IFERROR(INDEX(Targets!$A$2:$A$9,MATCH(A9,Targets!$B$2:$B$9,0)),"")</f>
        <v/>
      </c>
      <c r="C9" s="3">
        <f>IFERROR(INDEX(Targets!$C$2:$C$9,MATCH(A9,Targets!$B$2:$B$9,0)),0)</f>
        <v/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2026-09-23T02:24:34Z</dcterms:created>
  <dcterms:modified xsi:type="dcterms:W3CDTF">2026-09-23T02:24:34Z</dcterms:modified>
</cp:coreProperties>
</file>