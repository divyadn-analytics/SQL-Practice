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aad326413ac04c/Desktop/"/>
    </mc:Choice>
  </mc:AlternateContent>
  <xr:revisionPtr revIDLastSave="100" documentId="8_{3E34FD64-82B4-4003-A04C-5AA17C8338FA}" xr6:coauthVersionLast="47" xr6:coauthVersionMax="47" xr10:uidLastSave="{DB5EC49A-B496-4835-A8A9-4ECEB8391EA2}"/>
  <bookViews>
    <workbookView xWindow="-110" yWindow="-110" windowWidth="25820" windowHeight="15500" activeTab="1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 - INDEX MATCH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1" l="1"/>
  <c r="C17" i="11"/>
  <c r="C14" i="11"/>
  <c r="J5" i="10" l="1"/>
  <c r="G5" i="10"/>
  <c r="E12" i="9"/>
  <c r="D12" i="9"/>
  <c r="C12" i="7"/>
  <c r="D12" i="4"/>
  <c r="J17" i="2"/>
  <c r="I17" i="2"/>
  <c r="H17" i="2"/>
  <c r="G17" i="2"/>
  <c r="C16" i="1"/>
  <c r="C12" i="1"/>
  <c r="C19" i="8"/>
  <c r="C18" i="8"/>
  <c r="C17" i="8"/>
  <c r="C14" i="8"/>
  <c r="D18" i="5"/>
  <c r="D17" i="5"/>
  <c r="D16" i="5"/>
  <c r="D15" i="5"/>
  <c r="D14" i="5"/>
  <c r="D13" i="5"/>
  <c r="D12" i="5"/>
  <c r="D11" i="5"/>
  <c r="C12" i="9"/>
  <c r="C13" i="8"/>
  <c r="C12" i="8"/>
  <c r="D12" i="6"/>
  <c r="D16" i="3"/>
  <c r="C16" i="3"/>
  <c r="D12" i="3"/>
  <c r="C12" i="3"/>
  <c r="F17" i="2"/>
  <c r="E17" i="2"/>
  <c r="D17" i="2"/>
  <c r="J13" i="2"/>
  <c r="I13" i="2"/>
  <c r="H13" i="2"/>
  <c r="G13" i="2"/>
  <c r="F13" i="2"/>
  <c r="E13" i="2"/>
  <c r="D13" i="2"/>
  <c r="J4" i="2"/>
  <c r="J5" i="2"/>
  <c r="J6" i="2"/>
  <c r="J7" i="2"/>
  <c r="J8" i="2"/>
  <c r="J3" i="2"/>
  <c r="J8" i="11"/>
  <c r="J7" i="11"/>
  <c r="J6" i="11"/>
  <c r="J5" i="11"/>
  <c r="J4" i="11"/>
  <c r="J3" i="11"/>
  <c r="H9" i="8"/>
  <c r="G9" i="8"/>
  <c r="F9" i="8"/>
  <c r="E9" i="8"/>
  <c r="D9" i="8"/>
  <c r="C9" i="8"/>
  <c r="I8" i="8"/>
  <c r="I7" i="8"/>
  <c r="I6" i="8"/>
  <c r="I5" i="8"/>
  <c r="I4" i="8"/>
  <c r="I3" i="8"/>
  <c r="I8" i="7"/>
  <c r="I7" i="7"/>
  <c r="I6" i="7"/>
  <c r="I5" i="7"/>
  <c r="I4" i="7"/>
  <c r="I3" i="7"/>
  <c r="C18" i="5"/>
  <c r="C11" i="5" a="1"/>
  <c r="C17" i="5" s="1"/>
  <c r="C11" i="5"/>
  <c r="J8" i="5"/>
  <c r="J7" i="5"/>
  <c r="J6" i="5"/>
  <c r="J5" i="5"/>
  <c r="J4" i="5"/>
  <c r="J3" i="5"/>
  <c r="J8" i="4"/>
  <c r="J7" i="4"/>
  <c r="J6" i="4"/>
  <c r="J5" i="4"/>
  <c r="J4" i="4"/>
  <c r="J3" i="4"/>
  <c r="J8" i="3"/>
  <c r="J7" i="3"/>
  <c r="J6" i="3"/>
  <c r="J5" i="3"/>
  <c r="J4" i="3"/>
  <c r="J3" i="3"/>
  <c r="J8" i="1"/>
  <c r="J7" i="1"/>
  <c r="J6" i="1"/>
  <c r="J5" i="1"/>
  <c r="J4" i="1"/>
  <c r="J3" i="1"/>
  <c r="I8" i="9"/>
  <c r="I7" i="9"/>
  <c r="I6" i="9"/>
  <c r="I5" i="9"/>
  <c r="I4" i="9"/>
  <c r="I3" i="9"/>
  <c r="C12" i="5" l="1"/>
  <c r="C13" i="5"/>
  <c r="C14" i="5"/>
  <c r="I9" i="8"/>
  <c r="C16" i="5"/>
  <c r="C15" i="5"/>
</calcChain>
</file>

<file path=xl/sharedStrings.xml><?xml version="1.0" encoding="utf-8"?>
<sst xmlns="http://schemas.openxmlformats.org/spreadsheetml/2006/main" count="296" uniqueCount="43">
  <si>
    <t>Product</t>
  </si>
  <si>
    <t>Jan</t>
  </si>
  <si>
    <t>Feb</t>
  </si>
  <si>
    <t>Mar</t>
  </si>
  <si>
    <t>Apr</t>
  </si>
  <si>
    <t>May</t>
  </si>
  <si>
    <t>Jun</t>
  </si>
  <si>
    <t>Total</t>
  </si>
  <si>
    <t>Microwave</t>
  </si>
  <si>
    <t>Phone</t>
  </si>
  <si>
    <t>Laptop</t>
  </si>
  <si>
    <t>Speaker</t>
  </si>
  <si>
    <t>AC</t>
  </si>
  <si>
    <t>Oven</t>
  </si>
  <si>
    <t>ac</t>
  </si>
  <si>
    <t>HSN Code</t>
  </si>
  <si>
    <t>Total Sale</t>
  </si>
  <si>
    <t>XYZ001</t>
  </si>
  <si>
    <t>XYZ002</t>
  </si>
  <si>
    <t>XYZ003</t>
  </si>
  <si>
    <t>XYZ004</t>
  </si>
  <si>
    <t>XYZ005</t>
  </si>
  <si>
    <t>XYZ006</t>
  </si>
  <si>
    <t>Month</t>
  </si>
  <si>
    <t>Amount</t>
  </si>
  <si>
    <t>phone</t>
  </si>
  <si>
    <t>Qty Sold</t>
  </si>
  <si>
    <t>VLOOKUP</t>
  </si>
  <si>
    <t>XLOOKUP</t>
  </si>
  <si>
    <t>INDEX + MATCH Practice – Complete Manually First</t>
  </si>
  <si>
    <t>Q1</t>
  </si>
  <si>
    <t>Using the Product name, retrieve the corresponding HSN Code using INDEX + MATCH.</t>
  </si>
  <si>
    <t>Answer / Formula:</t>
  </si>
  <si>
    <t>Q2</t>
  </si>
  <si>
    <t>Using the HSN Code, retrieve the corresponding Product name using INDEX + MATCH.</t>
  </si>
  <si>
    <t>Q3</t>
  </si>
  <si>
    <t>Using the Product name, retrieve the Total Sale using INDEX + MATCH.</t>
  </si>
  <si>
    <t>Q4</t>
  </si>
  <si>
    <t>Use MATCH with 0 for an exact match to find the position of a selected Product. Then use INDEX to return its Total Sale. Briefly explain why 0 is used.</t>
  </si>
  <si>
    <t>Q5</t>
  </si>
  <si>
    <t>Create an INDEX + MATCH formula and drag it for multiple lookup values. Lock the lookup and return arrays correctly with $ references, while keeping the lookup value relative. Verify that each row returns the correct result.</t>
  </si>
  <si>
    <t>Note:</t>
  </si>
  <si>
    <t>Complete all questions manually first. Use Copilot only after completion to verify the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</si>
</sst>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0" borderId="0" xfId="0" applyFont="1"/>
    <xf numFmtId="0" fontId="1" fillId="2" borderId="0" xfId="0" applyFont="1" applyFill="1"/>
    <xf numFmtId="0" fontId="0" fillId="4" borderId="0" xfId="0" applyFill="1" applyAlignment="1">
      <alignment horizontal="center"/>
    </xf>
    <xf numFmtId="0" fontId="0" fillId="0" borderId="0" xfId="0"/>
    <xf numFmtId="0" fontId="1" fillId="2" borderId="0" xfId="0" applyFont="1" applyFill="1"/>
    <xf numFmtId="0" fontId="1" fillId="2" borderId="2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2:J16"/>
  <sheetViews>
    <sheetView zoomScale="115" zoomScaleNormal="115" workbookViewId="0">
      <selection activeCell="C17" sqref="C17"/>
    </sheetView>
  </sheetViews>
  <sheetFormatPr defaultRowHeight="18.5" x14ac:dyDescent="0.45"/>
  <cols>
    <col min="1" max="1" width="6.640625" customWidth="1"/>
    <col min="2" max="3" width="10.2109375" customWidth="1"/>
    <col min="4" max="9" width="7.7109375" customWidth="1"/>
    <col min="10" max="10" width="9.2109375" customWidth="1"/>
    <col min="11" max="11" width="5.35546875" customWidth="1"/>
  </cols>
  <sheetData>
    <row r="2" spans="2:10" x14ac:dyDescent="0.45">
      <c r="B2" s="1" t="s">
        <v>15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16</v>
      </c>
    </row>
    <row r="3" spans="2:10" x14ac:dyDescent="0.45">
      <c r="B3" s="2" t="s">
        <v>17</v>
      </c>
      <c r="C3" s="2" t="s">
        <v>8</v>
      </c>
      <c r="D3" s="3">
        <v>1200</v>
      </c>
      <c r="E3" s="3">
        <v>4500</v>
      </c>
      <c r="F3" s="3">
        <v>760040</v>
      </c>
      <c r="G3" s="3">
        <v>980000</v>
      </c>
      <c r="H3" s="3">
        <v>2300</v>
      </c>
      <c r="I3" s="3">
        <v>210500</v>
      </c>
      <c r="J3" s="3">
        <f t="shared" ref="J3:J8" si="0">SUM(D3:I3)</f>
        <v>1958540</v>
      </c>
    </row>
    <row r="4" spans="2:10" x14ac:dyDescent="0.45">
      <c r="B4" s="2" t="s">
        <v>18</v>
      </c>
      <c r="C4" s="2" t="s">
        <v>9</v>
      </c>
      <c r="D4" s="3">
        <v>4300</v>
      </c>
      <c r="E4" s="3">
        <v>4000</v>
      </c>
      <c r="F4" s="3">
        <v>66000</v>
      </c>
      <c r="G4" s="3">
        <v>670000</v>
      </c>
      <c r="H4" s="3">
        <v>439800</v>
      </c>
      <c r="I4" s="3">
        <v>43900</v>
      </c>
      <c r="J4" s="3">
        <f t="shared" si="0"/>
        <v>1228000</v>
      </c>
    </row>
    <row r="5" spans="2:10" x14ac:dyDescent="0.45">
      <c r="B5" s="2" t="s">
        <v>19</v>
      </c>
      <c r="C5" s="2" t="s">
        <v>10</v>
      </c>
      <c r="D5" s="3">
        <v>10000</v>
      </c>
      <c r="E5" s="3">
        <v>56000</v>
      </c>
      <c r="F5" s="3">
        <v>65000</v>
      </c>
      <c r="G5" s="3">
        <v>870000</v>
      </c>
      <c r="H5" s="3">
        <v>540790</v>
      </c>
      <c r="I5" s="3">
        <v>450000</v>
      </c>
      <c r="J5" s="3">
        <f t="shared" si="0"/>
        <v>1991790</v>
      </c>
    </row>
    <row r="6" spans="2:10" x14ac:dyDescent="0.45">
      <c r="B6" s="2" t="s">
        <v>20</v>
      </c>
      <c r="C6" s="2" t="s">
        <v>11</v>
      </c>
      <c r="D6" s="3">
        <v>43000</v>
      </c>
      <c r="E6" s="3">
        <v>76000</v>
      </c>
      <c r="F6" s="3">
        <v>450000</v>
      </c>
      <c r="G6" s="3">
        <v>3400</v>
      </c>
      <c r="H6" s="3">
        <v>5500</v>
      </c>
      <c r="I6" s="3">
        <v>5400</v>
      </c>
      <c r="J6" s="3">
        <f t="shared" si="0"/>
        <v>583300</v>
      </c>
    </row>
    <row r="7" spans="2:10" x14ac:dyDescent="0.45">
      <c r="B7" s="2" t="s">
        <v>21</v>
      </c>
      <c r="C7" s="2" t="s">
        <v>12</v>
      </c>
      <c r="D7" s="3">
        <v>2300</v>
      </c>
      <c r="E7" s="3">
        <v>5500</v>
      </c>
      <c r="F7" s="3">
        <v>54000</v>
      </c>
      <c r="G7" s="3">
        <v>45230</v>
      </c>
      <c r="H7" s="3">
        <v>340000</v>
      </c>
      <c r="I7" s="3">
        <v>5000</v>
      </c>
      <c r="J7" s="3">
        <f t="shared" si="0"/>
        <v>452030</v>
      </c>
    </row>
    <row r="8" spans="2:10" x14ac:dyDescent="0.45">
      <c r="B8" s="2" t="s">
        <v>22</v>
      </c>
      <c r="C8" s="2" t="s">
        <v>13</v>
      </c>
      <c r="D8" s="3">
        <v>54000</v>
      </c>
      <c r="E8" s="3">
        <v>560000</v>
      </c>
      <c r="F8" s="3">
        <v>34000</v>
      </c>
      <c r="G8" s="3">
        <v>77500</v>
      </c>
      <c r="H8" s="3">
        <v>540000</v>
      </c>
      <c r="I8" s="3">
        <v>340000</v>
      </c>
      <c r="J8" s="3">
        <f t="shared" si="0"/>
        <v>1605500</v>
      </c>
    </row>
    <row r="11" spans="2:10" x14ac:dyDescent="0.45">
      <c r="B11" s="1" t="s">
        <v>15</v>
      </c>
      <c r="C11" s="1" t="s">
        <v>16</v>
      </c>
    </row>
    <row r="12" spans="2:10" x14ac:dyDescent="0.45">
      <c r="B12" s="2" t="s">
        <v>20</v>
      </c>
      <c r="C12" s="3">
        <f>VLOOKUP(B12,$B$2:$J$8,9,0)</f>
        <v>583300</v>
      </c>
    </row>
    <row r="15" spans="2:10" x14ac:dyDescent="0.45">
      <c r="B15" s="1" t="s">
        <v>0</v>
      </c>
      <c r="C15" s="1" t="s">
        <v>15</v>
      </c>
    </row>
    <row r="16" spans="2:10" x14ac:dyDescent="0.45">
      <c r="B16" s="2" t="s">
        <v>14</v>
      </c>
      <c r="C16" s="3">
        <f>VLOOKUP(B16,$C$2:$J$8,8,0)</f>
        <v>452030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2:J17"/>
  <sheetViews>
    <sheetView zoomScale="115" zoomScaleNormal="115" workbookViewId="0">
      <selection activeCell="E19" sqref="E19"/>
    </sheetView>
  </sheetViews>
  <sheetFormatPr defaultRowHeight="18.5" x14ac:dyDescent="0.45"/>
  <cols>
    <col min="1" max="1" width="6.640625" customWidth="1"/>
    <col min="2" max="3" width="10.2109375" customWidth="1"/>
    <col min="4" max="9" width="7.7109375" customWidth="1"/>
    <col min="10" max="10" width="9.2109375" customWidth="1"/>
    <col min="11" max="11" width="5.35546875" customWidth="1"/>
  </cols>
  <sheetData>
    <row r="2" spans="2:10" x14ac:dyDescent="0.45">
      <c r="B2" s="1" t="s">
        <v>15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16</v>
      </c>
    </row>
    <row r="3" spans="2:10" x14ac:dyDescent="0.45">
      <c r="B3" s="2" t="s">
        <v>17</v>
      </c>
      <c r="C3" s="2" t="s">
        <v>8</v>
      </c>
      <c r="D3" s="3">
        <v>1200</v>
      </c>
      <c r="E3" s="3">
        <v>4500</v>
      </c>
      <c r="F3" s="3">
        <v>760040</v>
      </c>
      <c r="G3" s="3">
        <v>980000</v>
      </c>
      <c r="H3" s="3">
        <v>2300</v>
      </c>
      <c r="I3" s="3">
        <v>210500</v>
      </c>
      <c r="J3" s="3">
        <f>SUM(D3:I3)</f>
        <v>1958540</v>
      </c>
    </row>
    <row r="4" spans="2:10" x14ac:dyDescent="0.45">
      <c r="B4" s="2" t="s">
        <v>18</v>
      </c>
      <c r="C4" s="2" t="s">
        <v>9</v>
      </c>
      <c r="D4" s="3">
        <v>4300</v>
      </c>
      <c r="E4" s="3">
        <v>4000</v>
      </c>
      <c r="F4" s="3">
        <v>66000</v>
      </c>
      <c r="G4" s="3">
        <v>670000</v>
      </c>
      <c r="H4" s="3">
        <v>439800</v>
      </c>
      <c r="I4" s="3">
        <v>43900</v>
      </c>
      <c r="J4" s="3">
        <f t="shared" ref="J4:J8" si="0">SUM(D4:I4)</f>
        <v>1228000</v>
      </c>
    </row>
    <row r="5" spans="2:10" x14ac:dyDescent="0.45">
      <c r="B5" s="2" t="s">
        <v>19</v>
      </c>
      <c r="C5" s="2" t="s">
        <v>10</v>
      </c>
      <c r="D5" s="3">
        <v>10000</v>
      </c>
      <c r="E5" s="3">
        <v>56000</v>
      </c>
      <c r="F5" s="3">
        <v>65000</v>
      </c>
      <c r="G5" s="3">
        <v>870000</v>
      </c>
      <c r="H5" s="3">
        <v>540790</v>
      </c>
      <c r="I5" s="3">
        <v>450000</v>
      </c>
      <c r="J5" s="3">
        <f t="shared" si="0"/>
        <v>1991790</v>
      </c>
    </row>
    <row r="6" spans="2:10" x14ac:dyDescent="0.45">
      <c r="B6" s="2" t="s">
        <v>20</v>
      </c>
      <c r="C6" s="2" t="s">
        <v>11</v>
      </c>
      <c r="D6" s="3">
        <v>43000</v>
      </c>
      <c r="E6" s="3">
        <v>76000</v>
      </c>
      <c r="F6" s="3">
        <v>450000</v>
      </c>
      <c r="G6" s="3">
        <v>3400</v>
      </c>
      <c r="H6" s="3">
        <v>5500</v>
      </c>
      <c r="I6" s="3">
        <v>5400</v>
      </c>
      <c r="J6" s="3">
        <f t="shared" si="0"/>
        <v>583300</v>
      </c>
    </row>
    <row r="7" spans="2:10" x14ac:dyDescent="0.45">
      <c r="B7" s="2" t="s">
        <v>21</v>
      </c>
      <c r="C7" s="2" t="s">
        <v>12</v>
      </c>
      <c r="D7" s="3">
        <v>2300</v>
      </c>
      <c r="E7" s="3">
        <v>5500</v>
      </c>
      <c r="F7" s="3">
        <v>54000</v>
      </c>
      <c r="G7" s="3">
        <v>45230</v>
      </c>
      <c r="H7" s="3">
        <v>340000</v>
      </c>
      <c r="I7" s="3">
        <v>5000</v>
      </c>
      <c r="J7" s="3">
        <f t="shared" si="0"/>
        <v>452030</v>
      </c>
    </row>
    <row r="8" spans="2:10" x14ac:dyDescent="0.45">
      <c r="B8" s="2" t="s">
        <v>22</v>
      </c>
      <c r="C8" s="2" t="s">
        <v>13</v>
      </c>
      <c r="D8" s="3">
        <v>54000</v>
      </c>
      <c r="E8" s="3">
        <v>560000</v>
      </c>
      <c r="F8" s="3">
        <v>34000</v>
      </c>
      <c r="G8" s="3">
        <v>77500</v>
      </c>
      <c r="H8" s="3">
        <v>540000</v>
      </c>
      <c r="I8" s="3">
        <v>340000</v>
      </c>
      <c r="J8" s="3">
        <f t="shared" si="0"/>
        <v>1605500</v>
      </c>
    </row>
    <row r="12" spans="2:10" x14ac:dyDescent="0.45">
      <c r="B12" s="1" t="s">
        <v>15</v>
      </c>
      <c r="C12" s="1" t="s">
        <v>0</v>
      </c>
      <c r="D12" s="1" t="s">
        <v>1</v>
      </c>
      <c r="E12" s="1" t="s">
        <v>2</v>
      </c>
      <c r="F12" s="1" t="s">
        <v>3</v>
      </c>
      <c r="G12" s="1" t="s">
        <v>4</v>
      </c>
      <c r="H12" s="1" t="s">
        <v>5</v>
      </c>
      <c r="I12" s="1" t="s">
        <v>6</v>
      </c>
      <c r="J12" s="1" t="s">
        <v>16</v>
      </c>
    </row>
    <row r="13" spans="2:10" x14ac:dyDescent="0.45">
      <c r="B13" s="2" t="s">
        <v>20</v>
      </c>
      <c r="C13" s="2" t="s">
        <v>11</v>
      </c>
      <c r="D13" s="3">
        <f>VLOOKUP(C13,$C$2:$D$8,2,0)</f>
        <v>43000</v>
      </c>
      <c r="E13" s="3">
        <f>VLOOKUP(C13,$C$2:$E$8,3,0)</f>
        <v>76000</v>
      </c>
      <c r="F13" s="3">
        <f>VLOOKUP(D13,$D$2:$F$8,3,0)</f>
        <v>450000</v>
      </c>
      <c r="G13" s="3">
        <f>VLOOKUP(E13,$E$2:$G$8,3,0)</f>
        <v>3400</v>
      </c>
      <c r="H13" s="3">
        <f>VLOOKUP(F13,$F$2:$H$8,3,0)</f>
        <v>5500</v>
      </c>
      <c r="I13" s="3">
        <f>VLOOKUP(G13,$G$2:$I$8,3,0)</f>
        <v>5400</v>
      </c>
      <c r="J13" s="3">
        <f>VLOOKUP(H13,$H$2:$J$8,3,0)</f>
        <v>583300</v>
      </c>
    </row>
    <row r="16" spans="2:10" x14ac:dyDescent="0.45">
      <c r="C16" s="1" t="s">
        <v>0</v>
      </c>
      <c r="D16" s="1" t="s">
        <v>1</v>
      </c>
      <c r="E16" s="1" t="s">
        <v>2</v>
      </c>
      <c r="F16" s="1" t="s">
        <v>3</v>
      </c>
      <c r="G16" s="1" t="s">
        <v>4</v>
      </c>
      <c r="H16" s="1" t="s">
        <v>5</v>
      </c>
      <c r="I16" s="1" t="s">
        <v>6</v>
      </c>
      <c r="J16" s="1" t="s">
        <v>16</v>
      </c>
    </row>
    <row r="17" spans="3:10" x14ac:dyDescent="0.45">
      <c r="C17" s="2" t="s">
        <v>12</v>
      </c>
      <c r="D17" s="3">
        <f>VLOOKUP(C17,$C$2:$D$8,2,0)</f>
        <v>2300</v>
      </c>
      <c r="E17" s="3">
        <f>VLOOKUP(C17,$C$3:$E$8,3,0)</f>
        <v>5500</v>
      </c>
      <c r="F17" s="3">
        <f>VLOOKUP(C17,$C$3:$F$8,4,0)</f>
        <v>54000</v>
      </c>
      <c r="G17" s="3">
        <f>VLOOKUP(C17,$C$3:$G$8,5,0)</f>
        <v>45230</v>
      </c>
      <c r="H17" s="3">
        <f>VLOOKUP(C17,$C$3:$H$8,6,0)</f>
        <v>340000</v>
      </c>
      <c r="I17" s="3">
        <f>VLOOKUP(C17,$C$3:$I$8,7,0)</f>
        <v>5000</v>
      </c>
      <c r="J17" s="3">
        <f>VLOOKUP(C17,$C$3:$J$8,8,0)</f>
        <v>452030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2:J16"/>
  <sheetViews>
    <sheetView zoomScale="115" zoomScaleNormal="115" workbookViewId="0">
      <selection activeCell="F14" sqref="F14"/>
    </sheetView>
  </sheetViews>
  <sheetFormatPr defaultRowHeight="18.5" x14ac:dyDescent="0.45"/>
  <cols>
    <col min="1" max="1" width="6.640625" customWidth="1"/>
    <col min="2" max="3" width="10.2109375" customWidth="1"/>
    <col min="4" max="9" width="7.7109375" customWidth="1"/>
    <col min="10" max="10" width="9.2109375" customWidth="1"/>
    <col min="11" max="11" width="5.35546875" customWidth="1"/>
  </cols>
  <sheetData>
    <row r="2" spans="2:10" x14ac:dyDescent="0.45">
      <c r="B2" s="1" t="s">
        <v>15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16</v>
      </c>
    </row>
    <row r="3" spans="2:10" x14ac:dyDescent="0.45">
      <c r="B3" s="2" t="s">
        <v>17</v>
      </c>
      <c r="C3" s="2" t="s">
        <v>8</v>
      </c>
      <c r="D3" s="3">
        <v>1200</v>
      </c>
      <c r="E3" s="3">
        <v>4500</v>
      </c>
      <c r="F3" s="3">
        <v>760040</v>
      </c>
      <c r="G3" s="3">
        <v>980000</v>
      </c>
      <c r="H3" s="3">
        <v>2300</v>
      </c>
      <c r="I3" s="3">
        <v>210500</v>
      </c>
      <c r="J3" s="3">
        <f t="shared" ref="J3:J8" si="0">SUM(D3:I3)</f>
        <v>1958540</v>
      </c>
    </row>
    <row r="4" spans="2:10" x14ac:dyDescent="0.45">
      <c r="B4" s="2" t="s">
        <v>18</v>
      </c>
      <c r="C4" s="2" t="s">
        <v>9</v>
      </c>
      <c r="D4" s="3">
        <v>4300</v>
      </c>
      <c r="E4" s="3">
        <v>4000</v>
      </c>
      <c r="F4" s="3">
        <v>66000</v>
      </c>
      <c r="G4" s="3">
        <v>670000</v>
      </c>
      <c r="H4" s="3">
        <v>439800</v>
      </c>
      <c r="I4" s="3">
        <v>43900</v>
      </c>
      <c r="J4" s="3">
        <f t="shared" si="0"/>
        <v>1228000</v>
      </c>
    </row>
    <row r="5" spans="2:10" x14ac:dyDescent="0.45">
      <c r="B5" s="2" t="s">
        <v>19</v>
      </c>
      <c r="C5" s="2" t="s">
        <v>10</v>
      </c>
      <c r="D5" s="3">
        <v>10000</v>
      </c>
      <c r="E5" s="3">
        <v>56000</v>
      </c>
      <c r="F5" s="3">
        <v>65000</v>
      </c>
      <c r="G5" s="3">
        <v>870000</v>
      </c>
      <c r="H5" s="3">
        <v>540790</v>
      </c>
      <c r="I5" s="3">
        <v>450000</v>
      </c>
      <c r="J5" s="3">
        <f t="shared" si="0"/>
        <v>1991790</v>
      </c>
    </row>
    <row r="6" spans="2:10" x14ac:dyDescent="0.45">
      <c r="B6" s="2" t="s">
        <v>20</v>
      </c>
      <c r="C6" s="2" t="s">
        <v>11</v>
      </c>
      <c r="D6" s="3">
        <v>43000</v>
      </c>
      <c r="E6" s="3">
        <v>76000</v>
      </c>
      <c r="F6" s="3">
        <v>450000</v>
      </c>
      <c r="G6" s="3">
        <v>3400</v>
      </c>
      <c r="H6" s="3">
        <v>5500</v>
      </c>
      <c r="I6" s="3">
        <v>5400</v>
      </c>
      <c r="J6" s="3">
        <f t="shared" si="0"/>
        <v>583300</v>
      </c>
    </row>
    <row r="7" spans="2:10" x14ac:dyDescent="0.45">
      <c r="B7" s="2" t="s">
        <v>21</v>
      </c>
      <c r="C7" s="2" t="s">
        <v>12</v>
      </c>
      <c r="D7" s="3">
        <v>2300</v>
      </c>
      <c r="E7" s="3">
        <v>5500</v>
      </c>
      <c r="F7" s="3">
        <v>54000</v>
      </c>
      <c r="G7" s="3">
        <v>45230</v>
      </c>
      <c r="H7" s="3">
        <v>340000</v>
      </c>
      <c r="I7" s="3">
        <v>5000</v>
      </c>
      <c r="J7" s="3">
        <f t="shared" si="0"/>
        <v>452030</v>
      </c>
    </row>
    <row r="8" spans="2:10" x14ac:dyDescent="0.45">
      <c r="B8" s="2" t="s">
        <v>22</v>
      </c>
      <c r="C8" s="2" t="s">
        <v>13</v>
      </c>
      <c r="D8" s="3">
        <v>54000</v>
      </c>
      <c r="E8" s="3">
        <v>560000</v>
      </c>
      <c r="F8" s="3">
        <v>34000</v>
      </c>
      <c r="G8" s="3">
        <v>77500</v>
      </c>
      <c r="H8" s="3">
        <v>540000</v>
      </c>
      <c r="I8" s="3">
        <v>340000</v>
      </c>
      <c r="J8" s="3">
        <f t="shared" si="0"/>
        <v>1605500</v>
      </c>
    </row>
    <row r="11" spans="2:10" x14ac:dyDescent="0.45">
      <c r="B11" s="1" t="s">
        <v>15</v>
      </c>
      <c r="C11" s="1" t="s">
        <v>0</v>
      </c>
      <c r="D11" s="1" t="s">
        <v>7</v>
      </c>
    </row>
    <row r="12" spans="2:10" x14ac:dyDescent="0.45">
      <c r="B12" s="2" t="s">
        <v>20</v>
      </c>
      <c r="C12" s="3" t="str">
        <f>VLOOKUP(B12,$B$3:$C$8,2,0)</f>
        <v>Speaker</v>
      </c>
      <c r="D12" s="3">
        <f>VLOOKUP(B12,$B$3:$J$8,9,0)</f>
        <v>583300</v>
      </c>
    </row>
    <row r="15" spans="2:10" x14ac:dyDescent="0.45">
      <c r="B15" s="1" t="s">
        <v>0</v>
      </c>
      <c r="C15" s="1" t="s">
        <v>15</v>
      </c>
      <c r="D15" s="1" t="s">
        <v>7</v>
      </c>
    </row>
    <row r="16" spans="2:10" x14ac:dyDescent="0.45">
      <c r="B16" s="2" t="s">
        <v>14</v>
      </c>
      <c r="C16" s="3" t="str">
        <f>_xlfn.XLOOKUP(B16,$C$2:$C$8,$B$2:$B$8)</f>
        <v>XYZ005</v>
      </c>
      <c r="D16" s="3">
        <f>VLOOKUP(C16,$B$3:$J$8,9,FALSE)</f>
        <v>452030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2:J12"/>
  <sheetViews>
    <sheetView topLeftCell="C1" zoomScale="115" zoomScaleNormal="115" workbookViewId="0">
      <selection activeCell="F10" sqref="F10"/>
    </sheetView>
  </sheetViews>
  <sheetFormatPr defaultRowHeight="18.5" x14ac:dyDescent="0.45"/>
  <cols>
    <col min="1" max="1" width="6.640625" customWidth="1"/>
    <col min="2" max="3" width="10.2109375" customWidth="1"/>
    <col min="4" max="4" width="9.35546875" customWidth="1"/>
    <col min="5" max="9" width="7.7109375" customWidth="1"/>
    <col min="10" max="10" width="9.2109375" customWidth="1"/>
  </cols>
  <sheetData>
    <row r="2" spans="2:10" x14ac:dyDescent="0.45">
      <c r="B2" s="1" t="s">
        <v>15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16</v>
      </c>
    </row>
    <row r="3" spans="2:10" x14ac:dyDescent="0.45">
      <c r="B3" s="2" t="s">
        <v>17</v>
      </c>
      <c r="C3" s="2" t="s">
        <v>8</v>
      </c>
      <c r="D3" s="3">
        <v>1200</v>
      </c>
      <c r="E3" s="3">
        <v>4500</v>
      </c>
      <c r="F3" s="3">
        <v>760040</v>
      </c>
      <c r="G3" s="3">
        <v>980000</v>
      </c>
      <c r="H3" s="3">
        <v>2300</v>
      </c>
      <c r="I3" s="3">
        <v>210500</v>
      </c>
      <c r="J3" s="3">
        <f t="shared" ref="J3:J8" si="0">SUM(D3:I3)</f>
        <v>1958540</v>
      </c>
    </row>
    <row r="4" spans="2:10" x14ac:dyDescent="0.45">
      <c r="B4" s="2" t="s">
        <v>18</v>
      </c>
      <c r="C4" s="2" t="s">
        <v>9</v>
      </c>
      <c r="D4" s="3">
        <v>4300</v>
      </c>
      <c r="E4" s="3">
        <v>4000</v>
      </c>
      <c r="F4" s="3">
        <v>66000</v>
      </c>
      <c r="G4" s="3">
        <v>670000</v>
      </c>
      <c r="H4" s="3">
        <v>439800</v>
      </c>
      <c r="I4" s="3">
        <v>43900</v>
      </c>
      <c r="J4" s="3">
        <f t="shared" si="0"/>
        <v>1228000</v>
      </c>
    </row>
    <row r="5" spans="2:10" x14ac:dyDescent="0.45">
      <c r="B5" s="2" t="s">
        <v>19</v>
      </c>
      <c r="C5" s="2" t="s">
        <v>10</v>
      </c>
      <c r="D5" s="3">
        <v>10000</v>
      </c>
      <c r="E5" s="3">
        <v>56000</v>
      </c>
      <c r="F5" s="3">
        <v>65000</v>
      </c>
      <c r="G5" s="3">
        <v>870000</v>
      </c>
      <c r="H5" s="3">
        <v>540790</v>
      </c>
      <c r="I5" s="3">
        <v>450000</v>
      </c>
      <c r="J5" s="3">
        <f t="shared" si="0"/>
        <v>1991790</v>
      </c>
    </row>
    <row r="6" spans="2:10" x14ac:dyDescent="0.45">
      <c r="B6" s="2" t="s">
        <v>20</v>
      </c>
      <c r="C6" s="2" t="s">
        <v>11</v>
      </c>
      <c r="D6" s="3">
        <v>43000</v>
      </c>
      <c r="E6" s="3">
        <v>76000</v>
      </c>
      <c r="F6" s="3">
        <v>450000</v>
      </c>
      <c r="G6" s="3">
        <v>3400</v>
      </c>
      <c r="H6" s="3">
        <v>5500</v>
      </c>
      <c r="I6" s="3">
        <v>5400</v>
      </c>
      <c r="J6" s="3">
        <f t="shared" si="0"/>
        <v>583300</v>
      </c>
    </row>
    <row r="7" spans="2:10" x14ac:dyDescent="0.45">
      <c r="B7" s="2" t="s">
        <v>21</v>
      </c>
      <c r="C7" s="2" t="s">
        <v>10</v>
      </c>
      <c r="D7" s="3">
        <v>2300</v>
      </c>
      <c r="E7" s="3">
        <v>5500</v>
      </c>
      <c r="F7" s="3">
        <v>54000</v>
      </c>
      <c r="G7" s="3">
        <v>45230</v>
      </c>
      <c r="H7" s="3">
        <v>340000</v>
      </c>
      <c r="I7" s="3">
        <v>5000</v>
      </c>
      <c r="J7" s="3">
        <f t="shared" si="0"/>
        <v>452030</v>
      </c>
    </row>
    <row r="8" spans="2:10" x14ac:dyDescent="0.45">
      <c r="B8" s="2" t="s">
        <v>22</v>
      </c>
      <c r="C8" s="2" t="s">
        <v>9</v>
      </c>
      <c r="D8" s="3">
        <v>54000</v>
      </c>
      <c r="E8" s="3">
        <v>560000</v>
      </c>
      <c r="F8" s="3">
        <v>34000</v>
      </c>
      <c r="G8" s="3">
        <v>77500</v>
      </c>
      <c r="H8" s="3">
        <v>540000</v>
      </c>
      <c r="I8" s="3">
        <v>340000</v>
      </c>
      <c r="J8" s="3">
        <f t="shared" si="0"/>
        <v>1605500</v>
      </c>
    </row>
    <row r="11" spans="2:10" x14ac:dyDescent="0.45">
      <c r="B11" s="1" t="s">
        <v>15</v>
      </c>
      <c r="C11" s="1" t="s">
        <v>0</v>
      </c>
      <c r="D11" s="1" t="s">
        <v>16</v>
      </c>
    </row>
    <row r="12" spans="2:10" x14ac:dyDescent="0.45">
      <c r="B12" s="2" t="s">
        <v>19</v>
      </c>
      <c r="C12" s="2" t="s">
        <v>10</v>
      </c>
      <c r="D12">
        <f>VLOOKUP(C12,$C$3:$J$8,8,FALSE)</f>
        <v>1991790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2:J18"/>
  <sheetViews>
    <sheetView zoomScale="115" zoomScaleNormal="115" workbookViewId="0">
      <selection activeCell="F18" sqref="F18"/>
    </sheetView>
  </sheetViews>
  <sheetFormatPr defaultRowHeight="18.5" x14ac:dyDescent="0.45"/>
  <cols>
    <col min="1" max="1" width="6.640625" customWidth="1"/>
    <col min="2" max="3" width="10.2109375" customWidth="1"/>
    <col min="4" max="4" width="9.7109375" customWidth="1"/>
    <col min="5" max="9" width="7.7109375" customWidth="1"/>
    <col min="10" max="10" width="9.2109375" customWidth="1"/>
  </cols>
  <sheetData>
    <row r="2" spans="2:10" x14ac:dyDescent="0.45">
      <c r="B2" s="1" t="s">
        <v>15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16</v>
      </c>
    </row>
    <row r="3" spans="2:10" x14ac:dyDescent="0.45">
      <c r="B3" s="2" t="s">
        <v>17</v>
      </c>
      <c r="C3" s="2" t="s">
        <v>8</v>
      </c>
      <c r="D3" s="3">
        <v>1200</v>
      </c>
      <c r="E3" s="3">
        <v>4500</v>
      </c>
      <c r="F3" s="3">
        <v>760040</v>
      </c>
      <c r="G3" s="3">
        <v>980000</v>
      </c>
      <c r="H3" s="3">
        <v>2300</v>
      </c>
      <c r="I3" s="3">
        <v>210500</v>
      </c>
      <c r="J3" s="3">
        <f t="shared" ref="J3:J8" si="0">SUM(D3:I3)</f>
        <v>1958540</v>
      </c>
    </row>
    <row r="4" spans="2:10" x14ac:dyDescent="0.45">
      <c r="B4" s="2" t="s">
        <v>18</v>
      </c>
      <c r="C4" s="2" t="s">
        <v>9</v>
      </c>
      <c r="D4" s="3">
        <v>4300</v>
      </c>
      <c r="E4" s="3">
        <v>4000</v>
      </c>
      <c r="F4" s="3">
        <v>66000</v>
      </c>
      <c r="G4" s="3">
        <v>670000</v>
      </c>
      <c r="H4" s="3">
        <v>439800</v>
      </c>
      <c r="I4" s="3">
        <v>43900</v>
      </c>
      <c r="J4" s="3">
        <f t="shared" si="0"/>
        <v>1228000</v>
      </c>
    </row>
    <row r="5" spans="2:10" x14ac:dyDescent="0.45">
      <c r="B5" s="2" t="s">
        <v>19</v>
      </c>
      <c r="C5" s="2" t="s">
        <v>10</v>
      </c>
      <c r="D5" s="3">
        <v>10000</v>
      </c>
      <c r="E5" s="3">
        <v>56000</v>
      </c>
      <c r="F5" s="3">
        <v>65000</v>
      </c>
      <c r="G5" s="3">
        <v>870000</v>
      </c>
      <c r="H5" s="3">
        <v>540790</v>
      </c>
      <c r="I5" s="3">
        <v>450000</v>
      </c>
      <c r="J5" s="3">
        <f t="shared" si="0"/>
        <v>1991790</v>
      </c>
    </row>
    <row r="6" spans="2:10" x14ac:dyDescent="0.45">
      <c r="B6" s="2" t="s">
        <v>20</v>
      </c>
      <c r="C6" s="2" t="s">
        <v>11</v>
      </c>
      <c r="D6" s="3">
        <v>43000</v>
      </c>
      <c r="E6" s="3">
        <v>76000</v>
      </c>
      <c r="F6" s="3">
        <v>450000</v>
      </c>
      <c r="G6" s="3">
        <v>3400</v>
      </c>
      <c r="H6" s="3">
        <v>5500</v>
      </c>
      <c r="I6" s="3">
        <v>5400</v>
      </c>
      <c r="J6" s="3">
        <f t="shared" si="0"/>
        <v>583300</v>
      </c>
    </row>
    <row r="7" spans="2:10" x14ac:dyDescent="0.45">
      <c r="B7" s="2" t="s">
        <v>21</v>
      </c>
      <c r="C7" s="2" t="s">
        <v>12</v>
      </c>
      <c r="D7" s="3">
        <v>2300</v>
      </c>
      <c r="E7" s="3">
        <v>5500</v>
      </c>
      <c r="F7" s="3">
        <v>54000</v>
      </c>
      <c r="G7" s="3">
        <v>45230</v>
      </c>
      <c r="H7" s="3">
        <v>340000</v>
      </c>
      <c r="I7" s="3">
        <v>5000</v>
      </c>
      <c r="J7" s="3">
        <f t="shared" si="0"/>
        <v>452030</v>
      </c>
    </row>
    <row r="8" spans="2:10" x14ac:dyDescent="0.45">
      <c r="B8" s="2" t="s">
        <v>22</v>
      </c>
      <c r="C8" s="2" t="s">
        <v>13</v>
      </c>
      <c r="D8" s="3">
        <v>54000</v>
      </c>
      <c r="E8" s="3">
        <v>560000</v>
      </c>
      <c r="F8" s="3">
        <v>34000</v>
      </c>
      <c r="G8" s="3">
        <v>77500</v>
      </c>
      <c r="H8" s="3">
        <v>540000</v>
      </c>
      <c r="I8" s="3">
        <v>340000</v>
      </c>
      <c r="J8" s="3">
        <f t="shared" si="0"/>
        <v>1605500</v>
      </c>
    </row>
    <row r="10" spans="2:10" x14ac:dyDescent="0.45">
      <c r="B10" s="1" t="s">
        <v>15</v>
      </c>
      <c r="C10" s="2" t="s">
        <v>18</v>
      </c>
      <c r="D10" s="2" t="s">
        <v>17</v>
      </c>
    </row>
    <row r="11" spans="2:10" x14ac:dyDescent="0.45">
      <c r="B11" s="1" t="s">
        <v>0</v>
      </c>
      <c r="C11" s="3" t="str">
        <f t="array" ref="C11:C18">TRANSPOSE(_xlfn.XLOOKUP(C10,B3:B8,C3:J8))</f>
        <v>Phone</v>
      </c>
      <c r="D11" t="str">
        <f>VLOOKUP(D10,$B$2:$C$8,2,0)</f>
        <v>Microwave</v>
      </c>
    </row>
    <row r="12" spans="2:10" x14ac:dyDescent="0.45">
      <c r="B12" s="1" t="s">
        <v>1</v>
      </c>
      <c r="C12" s="3">
        <v>4300</v>
      </c>
      <c r="D12">
        <f>VLOOKUP(D11,$C$3:$D$3,2,FALSE)</f>
        <v>1200</v>
      </c>
    </row>
    <row r="13" spans="2:10" x14ac:dyDescent="0.45">
      <c r="B13" s="1" t="s">
        <v>2</v>
      </c>
      <c r="C13" s="3">
        <v>4000</v>
      </c>
      <c r="D13">
        <f>VLOOKUP(D11,$C$2:$E$8,3,FALSE)</f>
        <v>4500</v>
      </c>
    </row>
    <row r="14" spans="2:10" x14ac:dyDescent="0.45">
      <c r="B14" s="1" t="s">
        <v>3</v>
      </c>
      <c r="C14" s="3">
        <v>66000</v>
      </c>
      <c r="D14">
        <f>VLOOKUP(D11,$C$3:$F$8,4,FALSE)</f>
        <v>760040</v>
      </c>
    </row>
    <row r="15" spans="2:10" x14ac:dyDescent="0.45">
      <c r="B15" s="1" t="s">
        <v>4</v>
      </c>
      <c r="C15" s="3">
        <v>670000</v>
      </c>
      <c r="D15">
        <f>VLOOKUP(D11,$C$3:$G$8,5,FALSE)</f>
        <v>980000</v>
      </c>
    </row>
    <row r="16" spans="2:10" x14ac:dyDescent="0.45">
      <c r="B16" s="1" t="s">
        <v>5</v>
      </c>
      <c r="C16" s="3">
        <v>439800</v>
      </c>
      <c r="D16">
        <f>VLOOKUP(D11,$C$3:$H$8,6,FALSE)</f>
        <v>2300</v>
      </c>
    </row>
    <row r="17" spans="2:4" x14ac:dyDescent="0.45">
      <c r="B17" s="1" t="s">
        <v>6</v>
      </c>
      <c r="C17" s="3">
        <v>43900</v>
      </c>
      <c r="D17">
        <f>VLOOKUP(D11,$C$3:$I$8,7,FALSE)</f>
        <v>210500</v>
      </c>
    </row>
    <row r="18" spans="2:4" x14ac:dyDescent="0.45">
      <c r="B18" s="1" t="s">
        <v>16</v>
      </c>
      <c r="C18" s="3">
        <v>1228000</v>
      </c>
      <c r="D18">
        <f>VLOOKUP(D11,$C$3:$J$8,8,FALSE)</f>
        <v>1958540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B2:H13"/>
  <sheetViews>
    <sheetView zoomScale="89" zoomScaleNormal="115" workbookViewId="0">
      <selection activeCell="D12" sqref="D12"/>
    </sheetView>
  </sheetViews>
  <sheetFormatPr defaultRowHeight="18.5" x14ac:dyDescent="0.45"/>
  <cols>
    <col min="1" max="1" width="6.640625" customWidth="1"/>
    <col min="2" max="2" width="10.2109375" customWidth="1"/>
    <col min="3" max="8" width="7.7109375" customWidth="1"/>
  </cols>
  <sheetData>
    <row r="2" spans="2:8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45">
      <c r="B3" s="2" t="s">
        <v>8</v>
      </c>
      <c r="C3" s="3">
        <v>1200</v>
      </c>
      <c r="D3" s="3">
        <v>4500</v>
      </c>
      <c r="E3" s="3">
        <v>760040</v>
      </c>
      <c r="F3" s="3">
        <v>980000</v>
      </c>
      <c r="G3" s="3">
        <v>2300</v>
      </c>
      <c r="H3" s="3">
        <v>210500</v>
      </c>
    </row>
    <row r="4" spans="2:8" x14ac:dyDescent="0.45">
      <c r="B4" s="2" t="s">
        <v>9</v>
      </c>
      <c r="C4" s="3">
        <v>4300</v>
      </c>
      <c r="D4" s="3">
        <v>4000</v>
      </c>
      <c r="E4" s="3">
        <v>66000</v>
      </c>
      <c r="F4" s="3">
        <v>670000</v>
      </c>
      <c r="G4" s="3">
        <v>439800</v>
      </c>
      <c r="H4" s="3">
        <v>43900</v>
      </c>
    </row>
    <row r="5" spans="2:8" x14ac:dyDescent="0.45">
      <c r="B5" s="2" t="s">
        <v>10</v>
      </c>
      <c r="C5" s="3">
        <v>10000</v>
      </c>
      <c r="D5" s="3">
        <v>56000</v>
      </c>
      <c r="E5" s="3">
        <v>65000</v>
      </c>
      <c r="F5" s="3">
        <v>870000</v>
      </c>
      <c r="G5" s="3">
        <v>540790</v>
      </c>
      <c r="H5" s="3">
        <v>450000</v>
      </c>
    </row>
    <row r="6" spans="2:8" x14ac:dyDescent="0.45">
      <c r="B6" s="2" t="s">
        <v>11</v>
      </c>
      <c r="C6" s="3">
        <v>43000</v>
      </c>
      <c r="D6" s="3">
        <v>76000</v>
      </c>
      <c r="E6" s="3">
        <v>450000</v>
      </c>
      <c r="F6" s="3">
        <v>3400</v>
      </c>
      <c r="G6" s="3">
        <v>5500</v>
      </c>
      <c r="H6" s="3">
        <v>5400</v>
      </c>
    </row>
    <row r="7" spans="2:8" x14ac:dyDescent="0.45">
      <c r="B7" s="2" t="s">
        <v>12</v>
      </c>
      <c r="C7" s="3">
        <v>2300</v>
      </c>
      <c r="D7" s="3">
        <v>5500</v>
      </c>
      <c r="E7" s="3">
        <v>54000</v>
      </c>
      <c r="F7" s="3">
        <v>45230</v>
      </c>
      <c r="G7" s="3">
        <v>340000</v>
      </c>
      <c r="H7" s="3">
        <v>5000</v>
      </c>
    </row>
    <row r="8" spans="2:8" x14ac:dyDescent="0.45">
      <c r="B8" s="2" t="s">
        <v>13</v>
      </c>
      <c r="C8" s="3">
        <v>54000</v>
      </c>
      <c r="D8" s="3">
        <v>560000</v>
      </c>
      <c r="E8" s="3">
        <v>34000</v>
      </c>
      <c r="F8" s="3">
        <v>77500</v>
      </c>
      <c r="G8" s="3">
        <v>540000</v>
      </c>
      <c r="H8" s="3">
        <v>340000</v>
      </c>
    </row>
    <row r="11" spans="2:8" x14ac:dyDescent="0.45">
      <c r="B11" s="1" t="s">
        <v>0</v>
      </c>
      <c r="C11" s="1" t="s">
        <v>23</v>
      </c>
      <c r="D11" s="5" t="s">
        <v>24</v>
      </c>
    </row>
    <row r="12" spans="2:8" x14ac:dyDescent="0.45">
      <c r="B12" s="3" t="s">
        <v>10</v>
      </c>
      <c r="C12" s="3" t="s">
        <v>1</v>
      </c>
      <c r="D12" s="3">
        <f>VLOOKUP(B12,$B$3:$C$8,2,0)</f>
        <v>10000</v>
      </c>
    </row>
    <row r="13" spans="2:8" x14ac:dyDescent="0.45">
      <c r="F13" s="6"/>
    </row>
  </sheetData>
  <dataValidations disablePrompts="1" count="2">
    <dataValidation type="list" allowBlank="1" showInputMessage="1" showErrorMessage="1" sqref="B12" xr:uid="{00000000-0002-0000-0500-000000000000}">
      <formula1>$B$3:$B$8</formula1>
    </dataValidation>
    <dataValidation type="list" allowBlank="1" showInputMessage="1" showErrorMessage="1" sqref="C12" xr:uid="{00000000-0002-0000-0500-000001000000}">
      <formula1>$C$2:$H$2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B2:I12"/>
  <sheetViews>
    <sheetView topLeftCell="B1" zoomScale="115" zoomScaleNormal="115" workbookViewId="0">
      <selection activeCell="F13" sqref="F13"/>
    </sheetView>
  </sheetViews>
  <sheetFormatPr defaultRowHeight="18.5" x14ac:dyDescent="0.45"/>
  <cols>
    <col min="1" max="1" width="6.640625" customWidth="1"/>
    <col min="2" max="2" width="10.2109375" customWidth="1"/>
    <col min="3" max="3" width="8.85546875" customWidth="1"/>
    <col min="4" max="8" width="7.42578125" customWidth="1"/>
  </cols>
  <sheetData>
    <row r="2" spans="2:9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1" t="s">
        <v>7</v>
      </c>
    </row>
    <row r="3" spans="2:9" x14ac:dyDescent="0.45">
      <c r="B3" s="2" t="s">
        <v>8</v>
      </c>
      <c r="C3" s="3">
        <v>1200</v>
      </c>
      <c r="D3" s="3">
        <v>4500</v>
      </c>
      <c r="E3" s="3">
        <v>760040</v>
      </c>
      <c r="F3" s="3">
        <v>980000</v>
      </c>
      <c r="G3" s="3">
        <v>2300</v>
      </c>
      <c r="H3" s="3">
        <v>210500</v>
      </c>
      <c r="I3">
        <f t="shared" ref="I3:I8" si="0">SUM(C3:H3)</f>
        <v>1958540</v>
      </c>
    </row>
    <row r="4" spans="2:9" x14ac:dyDescent="0.45">
      <c r="B4" s="2" t="s">
        <v>9</v>
      </c>
      <c r="C4" s="3">
        <v>4300</v>
      </c>
      <c r="D4" s="3">
        <v>4000</v>
      </c>
      <c r="E4" s="3">
        <v>66000</v>
      </c>
      <c r="F4" s="3">
        <v>670000</v>
      </c>
      <c r="G4" s="3">
        <v>439800</v>
      </c>
      <c r="H4" s="3">
        <v>43900</v>
      </c>
      <c r="I4">
        <f t="shared" si="0"/>
        <v>1228000</v>
      </c>
    </row>
    <row r="5" spans="2:9" x14ac:dyDescent="0.45">
      <c r="B5" s="2" t="s">
        <v>10</v>
      </c>
      <c r="C5" s="3">
        <v>10000</v>
      </c>
      <c r="D5" s="3">
        <v>56000</v>
      </c>
      <c r="E5" s="3">
        <v>65000</v>
      </c>
      <c r="F5" s="3">
        <v>870000</v>
      </c>
      <c r="G5" s="3">
        <v>540790</v>
      </c>
      <c r="H5" s="3">
        <v>450000</v>
      </c>
      <c r="I5">
        <f t="shared" si="0"/>
        <v>1991790</v>
      </c>
    </row>
    <row r="6" spans="2:9" x14ac:dyDescent="0.45">
      <c r="B6" s="2" t="s">
        <v>11</v>
      </c>
      <c r="C6" s="3">
        <v>43000</v>
      </c>
      <c r="D6" s="3">
        <v>76000</v>
      </c>
      <c r="E6" s="3">
        <v>450000</v>
      </c>
      <c r="F6" s="3">
        <v>3400</v>
      </c>
      <c r="G6" s="3">
        <v>5500</v>
      </c>
      <c r="H6" s="3">
        <v>5400</v>
      </c>
      <c r="I6">
        <f t="shared" si="0"/>
        <v>583300</v>
      </c>
    </row>
    <row r="7" spans="2:9" x14ac:dyDescent="0.45">
      <c r="B7" s="2" t="s">
        <v>12</v>
      </c>
      <c r="C7" s="3">
        <v>2300</v>
      </c>
      <c r="D7" s="3">
        <v>5500</v>
      </c>
      <c r="E7" s="3">
        <v>54000</v>
      </c>
      <c r="F7" s="3">
        <v>45230</v>
      </c>
      <c r="G7" s="3">
        <v>340000</v>
      </c>
      <c r="H7" s="3">
        <v>5000</v>
      </c>
      <c r="I7">
        <f t="shared" si="0"/>
        <v>452030</v>
      </c>
    </row>
    <row r="8" spans="2:9" x14ac:dyDescent="0.45">
      <c r="B8" s="2" t="s">
        <v>13</v>
      </c>
      <c r="C8" s="3">
        <v>54000</v>
      </c>
      <c r="D8" s="3">
        <v>560000</v>
      </c>
      <c r="E8" s="3">
        <v>34000</v>
      </c>
      <c r="F8" s="3">
        <v>77500</v>
      </c>
      <c r="G8" s="3">
        <v>540000</v>
      </c>
      <c r="H8" s="3">
        <v>340000</v>
      </c>
      <c r="I8">
        <f t="shared" si="0"/>
        <v>1605500</v>
      </c>
    </row>
    <row r="11" spans="2:9" x14ac:dyDescent="0.45">
      <c r="B11" s="1" t="s">
        <v>0</v>
      </c>
      <c r="C11" s="1" t="s">
        <v>16</v>
      </c>
    </row>
    <row r="12" spans="2:9" x14ac:dyDescent="0.45">
      <c r="B12" s="2" t="s">
        <v>25</v>
      </c>
      <c r="C12">
        <f>VLOOKUP(B12,$B$3:$I$8,8,FALSE)</f>
        <v>1228000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B2:I19"/>
  <sheetViews>
    <sheetView zoomScale="115" zoomScaleNormal="115" workbookViewId="0">
      <selection activeCell="E18" sqref="E18"/>
    </sheetView>
  </sheetViews>
  <sheetFormatPr defaultRowHeight="18.5" x14ac:dyDescent="0.45"/>
  <cols>
    <col min="1" max="1" width="6.640625" customWidth="1"/>
    <col min="2" max="2" width="10.2109375" customWidth="1"/>
    <col min="3" max="8" width="9.2109375" customWidth="1"/>
  </cols>
  <sheetData>
    <row r="2" spans="2:9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x14ac:dyDescent="0.45">
      <c r="B3" s="2" t="s">
        <v>8</v>
      </c>
      <c r="C3" s="3">
        <v>1200</v>
      </c>
      <c r="D3" s="3">
        <v>4500</v>
      </c>
      <c r="E3" s="3">
        <v>760040</v>
      </c>
      <c r="F3" s="3">
        <v>980000</v>
      </c>
      <c r="G3" s="3">
        <v>2300</v>
      </c>
      <c r="H3" s="3">
        <v>210500</v>
      </c>
      <c r="I3" s="3">
        <f t="shared" ref="I3:I8" si="0">SUM(C3:H3)</f>
        <v>1958540</v>
      </c>
    </row>
    <row r="4" spans="2:9" x14ac:dyDescent="0.45">
      <c r="B4" s="2" t="s">
        <v>9</v>
      </c>
      <c r="C4" s="3">
        <v>4300</v>
      </c>
      <c r="D4" s="3">
        <v>4000</v>
      </c>
      <c r="E4" s="3">
        <v>66000</v>
      </c>
      <c r="F4" s="3">
        <v>670000</v>
      </c>
      <c r="G4" s="3">
        <v>439800</v>
      </c>
      <c r="H4" s="3">
        <v>43900</v>
      </c>
      <c r="I4" s="3">
        <f t="shared" si="0"/>
        <v>1228000</v>
      </c>
    </row>
    <row r="5" spans="2:9" x14ac:dyDescent="0.45">
      <c r="B5" s="2" t="s">
        <v>10</v>
      </c>
      <c r="C5" s="3">
        <v>10000</v>
      </c>
      <c r="D5" s="3">
        <v>56000</v>
      </c>
      <c r="E5" s="3">
        <v>65000</v>
      </c>
      <c r="F5" s="3">
        <v>870000</v>
      </c>
      <c r="G5" s="3">
        <v>540790</v>
      </c>
      <c r="H5" s="3">
        <v>450000</v>
      </c>
      <c r="I5" s="3">
        <f t="shared" si="0"/>
        <v>1991790</v>
      </c>
    </row>
    <row r="6" spans="2:9" x14ac:dyDescent="0.45">
      <c r="B6" s="2" t="s">
        <v>11</v>
      </c>
      <c r="C6" s="3">
        <v>43000</v>
      </c>
      <c r="D6" s="3">
        <v>76000</v>
      </c>
      <c r="E6" s="3">
        <v>450000</v>
      </c>
      <c r="F6" s="3">
        <v>3400</v>
      </c>
      <c r="G6" s="3">
        <v>5500</v>
      </c>
      <c r="H6" s="3">
        <v>5400</v>
      </c>
      <c r="I6" s="3">
        <f t="shared" si="0"/>
        <v>583300</v>
      </c>
    </row>
    <row r="7" spans="2:9" x14ac:dyDescent="0.45">
      <c r="B7" s="2" t="s">
        <v>12</v>
      </c>
      <c r="C7" s="3">
        <v>2300</v>
      </c>
      <c r="D7" s="3">
        <v>5500</v>
      </c>
      <c r="E7" s="3">
        <v>54000</v>
      </c>
      <c r="F7" s="3">
        <v>45230</v>
      </c>
      <c r="G7" s="3">
        <v>340000</v>
      </c>
      <c r="H7" s="3">
        <v>5000</v>
      </c>
      <c r="I7" s="3">
        <f t="shared" si="0"/>
        <v>452030</v>
      </c>
    </row>
    <row r="8" spans="2:9" x14ac:dyDescent="0.45">
      <c r="B8" s="2" t="s">
        <v>13</v>
      </c>
      <c r="C8" s="3">
        <v>54000</v>
      </c>
      <c r="D8" s="3">
        <v>560000</v>
      </c>
      <c r="E8" s="3">
        <v>34000</v>
      </c>
      <c r="F8" s="3">
        <v>77500</v>
      </c>
      <c r="G8" s="3">
        <v>540000</v>
      </c>
      <c r="H8" s="3">
        <v>340000</v>
      </c>
      <c r="I8" s="3">
        <f t="shared" si="0"/>
        <v>1605500</v>
      </c>
    </row>
    <row r="9" spans="2:9" x14ac:dyDescent="0.45">
      <c r="B9" s="4" t="s">
        <v>7</v>
      </c>
      <c r="C9" s="1">
        <f t="shared" ref="C9:I9" si="1">SUM(C3:C8)</f>
        <v>114800</v>
      </c>
      <c r="D9" s="1">
        <f t="shared" si="1"/>
        <v>706000</v>
      </c>
      <c r="E9" s="1">
        <f t="shared" si="1"/>
        <v>1429040</v>
      </c>
      <c r="F9" s="1">
        <f t="shared" si="1"/>
        <v>2646130</v>
      </c>
      <c r="G9" s="1">
        <f t="shared" si="1"/>
        <v>1868390</v>
      </c>
      <c r="H9" s="1">
        <f t="shared" si="1"/>
        <v>1054800</v>
      </c>
      <c r="I9" s="1">
        <f t="shared" si="1"/>
        <v>7819160</v>
      </c>
    </row>
    <row r="11" spans="2:9" x14ac:dyDescent="0.45">
      <c r="B11" s="1" t="s">
        <v>0</v>
      </c>
      <c r="C11" s="1" t="s">
        <v>7</v>
      </c>
    </row>
    <row r="12" spans="2:9" x14ac:dyDescent="0.45">
      <c r="B12" s="2" t="s">
        <v>8</v>
      </c>
      <c r="C12" s="3">
        <f>VLOOKUP(B12,$B$3:$I$9,8,0)</f>
        <v>1958540</v>
      </c>
    </row>
    <row r="13" spans="2:9" x14ac:dyDescent="0.45">
      <c r="B13" s="2" t="s">
        <v>10</v>
      </c>
      <c r="C13" s="3">
        <f>VLOOKUP(B13,$B$3:$I$9,8,FALSE)</f>
        <v>1991790</v>
      </c>
    </row>
    <row r="14" spans="2:9" x14ac:dyDescent="0.45">
      <c r="B14" s="2" t="s">
        <v>12</v>
      </c>
      <c r="C14" s="3">
        <f>VLOOKUP(B14,$B$3:$I$9,8,FALSE)</f>
        <v>452030</v>
      </c>
    </row>
    <row r="16" spans="2:9" x14ac:dyDescent="0.45">
      <c r="B16" s="1" t="s">
        <v>23</v>
      </c>
      <c r="C16" s="1" t="s">
        <v>7</v>
      </c>
    </row>
    <row r="17" spans="2:3" x14ac:dyDescent="0.45">
      <c r="B17" s="3" t="s">
        <v>2</v>
      </c>
      <c r="C17" s="3">
        <f>_xlfn.XLOOKUP(C16,$B$2:$B$9,D2:D9)</f>
        <v>706000</v>
      </c>
    </row>
    <row r="18" spans="2:3" x14ac:dyDescent="0.45">
      <c r="B18" s="3" t="s">
        <v>6</v>
      </c>
      <c r="C18" s="3">
        <f>_xlfn.XLOOKUP(C16,$B$2:$B$9,H2:H9)</f>
        <v>1054800</v>
      </c>
    </row>
    <row r="19" spans="2:3" x14ac:dyDescent="0.45">
      <c r="B19" s="3" t="s">
        <v>3</v>
      </c>
      <c r="C19" s="3">
        <f>_xlfn.XLOOKUP(C16,$B$2:$B$9,E2:E9)</f>
        <v>1429040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B2:I12"/>
  <sheetViews>
    <sheetView zoomScale="86" zoomScaleNormal="115" workbookViewId="0">
      <selection activeCell="F19" sqref="F19"/>
    </sheetView>
  </sheetViews>
  <sheetFormatPr defaultRowHeight="18.5" x14ac:dyDescent="0.45"/>
  <cols>
    <col min="1" max="1" width="6.640625" customWidth="1"/>
    <col min="2" max="2" width="10.2109375" customWidth="1"/>
    <col min="3" max="8" width="9.2109375" customWidth="1"/>
  </cols>
  <sheetData>
    <row r="2" spans="2:9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x14ac:dyDescent="0.45">
      <c r="B3" s="2" t="s">
        <v>8</v>
      </c>
      <c r="C3" s="3">
        <v>1200</v>
      </c>
      <c r="D3" s="3">
        <v>4500</v>
      </c>
      <c r="E3" s="3">
        <v>760040</v>
      </c>
      <c r="F3" s="3">
        <v>980000</v>
      </c>
      <c r="G3" s="3">
        <v>2300</v>
      </c>
      <c r="H3" s="3">
        <v>210500</v>
      </c>
      <c r="I3" s="3">
        <f t="shared" ref="I3:I8" si="0">SUM(C3:H3)</f>
        <v>1958540</v>
      </c>
    </row>
    <row r="4" spans="2:9" x14ac:dyDescent="0.45">
      <c r="B4" s="2" t="s">
        <v>9</v>
      </c>
      <c r="C4" s="3">
        <v>4300</v>
      </c>
      <c r="D4" s="3">
        <v>4000</v>
      </c>
      <c r="E4" s="3">
        <v>66000</v>
      </c>
      <c r="F4" s="3">
        <v>670000</v>
      </c>
      <c r="G4" s="3">
        <v>439800</v>
      </c>
      <c r="H4" s="3">
        <v>43900</v>
      </c>
      <c r="I4" s="3">
        <f t="shared" si="0"/>
        <v>1228000</v>
      </c>
    </row>
    <row r="5" spans="2:9" x14ac:dyDescent="0.45">
      <c r="B5" s="2" t="s">
        <v>10</v>
      </c>
      <c r="C5" s="3">
        <v>10000</v>
      </c>
      <c r="D5" s="3">
        <v>56000</v>
      </c>
      <c r="E5" s="3">
        <v>65000</v>
      </c>
      <c r="F5" s="3">
        <v>870000</v>
      </c>
      <c r="G5" s="3">
        <v>540790</v>
      </c>
      <c r="H5" s="3">
        <v>450000</v>
      </c>
      <c r="I5" s="3">
        <f t="shared" si="0"/>
        <v>1991790</v>
      </c>
    </row>
    <row r="6" spans="2:9" x14ac:dyDescent="0.45">
      <c r="B6" s="2" t="s">
        <v>11</v>
      </c>
      <c r="C6" s="3">
        <v>43000</v>
      </c>
      <c r="D6" s="3">
        <v>76000</v>
      </c>
      <c r="E6" s="3">
        <v>450000</v>
      </c>
      <c r="F6" s="3">
        <v>3400</v>
      </c>
      <c r="G6" s="3">
        <v>5500</v>
      </c>
      <c r="H6" s="3">
        <v>5400</v>
      </c>
      <c r="I6" s="3">
        <f t="shared" si="0"/>
        <v>583300</v>
      </c>
    </row>
    <row r="7" spans="2:9" x14ac:dyDescent="0.45">
      <c r="B7" s="2" t="s">
        <v>12</v>
      </c>
      <c r="C7" s="3">
        <v>2300</v>
      </c>
      <c r="D7" s="3">
        <v>5500</v>
      </c>
      <c r="E7" s="3">
        <v>54000</v>
      </c>
      <c r="F7" s="3">
        <v>45230</v>
      </c>
      <c r="G7" s="3">
        <v>340000</v>
      </c>
      <c r="H7" s="3">
        <v>5000</v>
      </c>
      <c r="I7" s="3">
        <f t="shared" si="0"/>
        <v>452030</v>
      </c>
    </row>
    <row r="8" spans="2:9" x14ac:dyDescent="0.45">
      <c r="B8" s="2" t="s">
        <v>13</v>
      </c>
      <c r="C8" s="3">
        <v>54000</v>
      </c>
      <c r="D8" s="3">
        <v>560000</v>
      </c>
      <c r="E8" s="3">
        <v>34000</v>
      </c>
      <c r="F8" s="3">
        <v>77500</v>
      </c>
      <c r="G8" s="3">
        <v>540000</v>
      </c>
      <c r="H8" s="3">
        <v>340000</v>
      </c>
      <c r="I8" s="3">
        <f t="shared" si="0"/>
        <v>1605500</v>
      </c>
    </row>
    <row r="11" spans="2:9" x14ac:dyDescent="0.45">
      <c r="B11" s="1" t="s">
        <v>0</v>
      </c>
      <c r="C11" s="1" t="s">
        <v>4</v>
      </c>
      <c r="D11" s="1" t="s">
        <v>2</v>
      </c>
      <c r="E11" s="1" t="s">
        <v>6</v>
      </c>
    </row>
    <row r="12" spans="2:9" x14ac:dyDescent="0.45">
      <c r="B12" s="2" t="s">
        <v>14</v>
      </c>
      <c r="C12">
        <f>VLOOKUP(B12,$B$2:$F$8,5,FALSE)</f>
        <v>45230</v>
      </c>
      <c r="D12">
        <f>VLOOKUP(B12,$B$2:$D$8,3,FALSE)</f>
        <v>5500</v>
      </c>
      <c r="E12">
        <f>VLOOKUP(B12,$B$2:$H$8,7,FALSE)</f>
        <v>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B2:J8"/>
  <sheetViews>
    <sheetView zoomScaleNormal="100" workbookViewId="0">
      <selection activeCell="F7" sqref="F7"/>
    </sheetView>
  </sheetViews>
  <sheetFormatPr defaultRowHeight="18.5" x14ac:dyDescent="0.45"/>
  <cols>
    <col min="1" max="1" width="6.640625" customWidth="1"/>
    <col min="2" max="2" width="9.85546875" customWidth="1"/>
    <col min="3" max="3" width="10.140625" customWidth="1"/>
    <col min="6" max="6" width="9.85546875" customWidth="1"/>
  </cols>
  <sheetData>
    <row r="2" spans="2:10" x14ac:dyDescent="0.45">
      <c r="B2" s="1" t="s">
        <v>15</v>
      </c>
      <c r="C2" s="1" t="s">
        <v>0</v>
      </c>
      <c r="D2" s="1" t="s">
        <v>26</v>
      </c>
      <c r="F2" s="8" t="s">
        <v>27</v>
      </c>
      <c r="G2" s="9"/>
      <c r="I2" s="8" t="s">
        <v>28</v>
      </c>
      <c r="J2" s="9"/>
    </row>
    <row r="3" spans="2:10" x14ac:dyDescent="0.45">
      <c r="B3" s="2" t="s">
        <v>17</v>
      </c>
      <c r="C3" s="2" t="s">
        <v>8</v>
      </c>
      <c r="D3" s="3">
        <v>1200</v>
      </c>
    </row>
    <row r="4" spans="2:10" x14ac:dyDescent="0.45">
      <c r="B4" s="2" t="s">
        <v>18</v>
      </c>
      <c r="C4" s="2" t="s">
        <v>9</v>
      </c>
      <c r="D4" s="3">
        <v>4300</v>
      </c>
      <c r="F4" s="1" t="s">
        <v>15</v>
      </c>
      <c r="G4" s="1" t="s">
        <v>26</v>
      </c>
      <c r="I4" s="1" t="s">
        <v>15</v>
      </c>
      <c r="J4" s="1" t="s">
        <v>26</v>
      </c>
    </row>
    <row r="5" spans="2:10" x14ac:dyDescent="0.45">
      <c r="B5" s="2" t="s">
        <v>19</v>
      </c>
      <c r="C5" s="2" t="s">
        <v>10</v>
      </c>
      <c r="D5" s="3">
        <v>350</v>
      </c>
      <c r="F5" s="2" t="s">
        <v>20</v>
      </c>
      <c r="G5" s="3">
        <f>VLOOKUP(F5,$B$2:$D$8,3,0)</f>
        <v>200</v>
      </c>
      <c r="I5" s="2" t="s">
        <v>20</v>
      </c>
      <c r="J5" s="3">
        <f>VLOOKUP(I5,$B$3:$D$8,3,FALSE)</f>
        <v>200</v>
      </c>
    </row>
    <row r="6" spans="2:10" x14ac:dyDescent="0.45">
      <c r="B6" s="2" t="s">
        <v>20</v>
      </c>
      <c r="C6" s="2" t="s">
        <v>11</v>
      </c>
      <c r="D6" s="3">
        <v>200</v>
      </c>
    </row>
    <row r="7" spans="2:10" x14ac:dyDescent="0.45">
      <c r="B7" s="2" t="s">
        <v>21</v>
      </c>
      <c r="C7" s="2" t="s">
        <v>12</v>
      </c>
      <c r="D7" s="3">
        <v>150</v>
      </c>
    </row>
    <row r="8" spans="2:10" x14ac:dyDescent="0.45">
      <c r="B8" s="2" t="s">
        <v>22</v>
      </c>
      <c r="C8" s="2" t="s">
        <v>13</v>
      </c>
      <c r="D8" s="3">
        <v>100</v>
      </c>
    </row>
  </sheetData>
  <mergeCells count="2">
    <mergeCell ref="F2:G2"/>
    <mergeCell ref="I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J27"/>
  <sheetViews>
    <sheetView tabSelected="1" workbookViewId="0">
      <pane xSplit="1" ySplit="1" topLeftCell="B15" activePane="bottomRight" state="frozen"/>
      <selection pane="topRight"/>
      <selection pane="bottomLeft"/>
      <selection pane="bottomRight" activeCell="J29" sqref="J29"/>
    </sheetView>
  </sheetViews>
  <sheetFormatPr defaultRowHeight="18.5" x14ac:dyDescent="0.45"/>
  <cols>
    <col min="1" max="1" width="6.640625" customWidth="1"/>
    <col min="2" max="2" width="10.2109375" customWidth="1"/>
    <col min="4" max="4" width="7.7109375" customWidth="1"/>
    <col min="10" max="10" width="74.35546875" customWidth="1"/>
    <col min="11" max="11" width="5.35546875" customWidth="1"/>
  </cols>
  <sheetData>
    <row r="2" spans="2:10" x14ac:dyDescent="0.45">
      <c r="B2" s="1" t="s">
        <v>15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16</v>
      </c>
    </row>
    <row r="3" spans="2:10" x14ac:dyDescent="0.45">
      <c r="B3" s="2" t="s">
        <v>17</v>
      </c>
      <c r="C3" s="2" t="s">
        <v>8</v>
      </c>
      <c r="D3" s="3">
        <v>1200</v>
      </c>
      <c r="E3" s="3">
        <v>4500</v>
      </c>
      <c r="F3" s="3">
        <v>760040</v>
      </c>
      <c r="G3" s="3">
        <v>980000</v>
      </c>
      <c r="H3" s="3">
        <v>2300</v>
      </c>
      <c r="I3" s="3">
        <v>210500</v>
      </c>
      <c r="J3" s="3">
        <f t="shared" ref="J3:J8" si="0">SUM(D3:I3)</f>
        <v>1958540</v>
      </c>
    </row>
    <row r="4" spans="2:10" x14ac:dyDescent="0.45">
      <c r="B4" s="2" t="s">
        <v>18</v>
      </c>
      <c r="C4" s="2" t="s">
        <v>9</v>
      </c>
      <c r="D4" s="3">
        <v>4300</v>
      </c>
      <c r="E4" s="3">
        <v>4000</v>
      </c>
      <c r="F4" s="3">
        <v>66000</v>
      </c>
      <c r="G4" s="3">
        <v>670000</v>
      </c>
      <c r="H4" s="3">
        <v>439800</v>
      </c>
      <c r="I4" s="3">
        <v>43900</v>
      </c>
      <c r="J4" s="3">
        <f t="shared" si="0"/>
        <v>1228000</v>
      </c>
    </row>
    <row r="5" spans="2:10" x14ac:dyDescent="0.45">
      <c r="B5" s="2" t="s">
        <v>19</v>
      </c>
      <c r="C5" s="2" t="s">
        <v>10</v>
      </c>
      <c r="D5" s="3">
        <v>10000</v>
      </c>
      <c r="E5" s="3">
        <v>56000</v>
      </c>
      <c r="F5" s="3">
        <v>65000</v>
      </c>
      <c r="G5" s="3">
        <v>870000</v>
      </c>
      <c r="H5" s="3">
        <v>540790</v>
      </c>
      <c r="I5" s="3">
        <v>450000</v>
      </c>
      <c r="J5" s="3">
        <f t="shared" si="0"/>
        <v>1991790</v>
      </c>
    </row>
    <row r="6" spans="2:10" x14ac:dyDescent="0.45">
      <c r="B6" s="2" t="s">
        <v>20</v>
      </c>
      <c r="C6" s="2" t="s">
        <v>11</v>
      </c>
      <c r="D6" s="3">
        <v>43000</v>
      </c>
      <c r="E6" s="3">
        <v>76000</v>
      </c>
      <c r="F6" s="3">
        <v>450000</v>
      </c>
      <c r="G6" s="3">
        <v>3400</v>
      </c>
      <c r="H6" s="3">
        <v>5500</v>
      </c>
      <c r="I6" s="3">
        <v>5400</v>
      </c>
      <c r="J6" s="3">
        <f t="shared" si="0"/>
        <v>583300</v>
      </c>
    </row>
    <row r="7" spans="2:10" x14ac:dyDescent="0.45">
      <c r="B7" s="2" t="s">
        <v>21</v>
      </c>
      <c r="C7" s="2" t="s">
        <v>12</v>
      </c>
      <c r="D7" s="3">
        <v>2300</v>
      </c>
      <c r="E7" s="3">
        <v>5500</v>
      </c>
      <c r="F7" s="3">
        <v>54000</v>
      </c>
      <c r="G7" s="3">
        <v>45230</v>
      </c>
      <c r="H7" s="3">
        <v>340000</v>
      </c>
      <c r="I7" s="3">
        <v>5000</v>
      </c>
      <c r="J7" s="3">
        <f t="shared" si="0"/>
        <v>452030</v>
      </c>
    </row>
    <row r="8" spans="2:10" x14ac:dyDescent="0.45">
      <c r="B8" s="2" t="s">
        <v>22</v>
      </c>
      <c r="C8" s="2" t="s">
        <v>13</v>
      </c>
      <c r="D8" s="3">
        <v>54000</v>
      </c>
      <c r="E8" s="3">
        <v>560000</v>
      </c>
      <c r="F8" s="3">
        <v>34000</v>
      </c>
      <c r="G8" s="3">
        <v>77500</v>
      </c>
      <c r="H8" s="3">
        <v>540000</v>
      </c>
      <c r="I8" s="3">
        <v>340000</v>
      </c>
      <c r="J8" s="3">
        <f t="shared" si="0"/>
        <v>1605500</v>
      </c>
    </row>
    <row r="10" spans="2:10" x14ac:dyDescent="0.45">
      <c r="B10" s="10" t="s">
        <v>29</v>
      </c>
      <c r="C10" s="9"/>
      <c r="D10" s="9"/>
      <c r="E10" s="9"/>
      <c r="F10" s="9"/>
      <c r="G10" s="9"/>
      <c r="H10" s="9"/>
      <c r="I10" s="9"/>
      <c r="J10" s="9"/>
    </row>
    <row r="12" spans="2:10" ht="30" customHeight="1" x14ac:dyDescent="0.45">
      <c r="B12" s="7" t="s">
        <v>30</v>
      </c>
      <c r="C12" s="9" t="s">
        <v>31</v>
      </c>
      <c r="D12" s="9"/>
      <c r="E12" s="9"/>
      <c r="F12" s="9"/>
      <c r="G12" s="9"/>
      <c r="H12" s="9"/>
      <c r="I12" s="9"/>
      <c r="J12" s="9"/>
    </row>
    <row r="13" spans="2:10" ht="24" customHeight="1" x14ac:dyDescent="0.45">
      <c r="B13" t="s">
        <v>32</v>
      </c>
      <c r="C13" s="9"/>
      <c r="D13" s="9"/>
      <c r="E13" s="9"/>
      <c r="F13" s="9"/>
      <c r="G13" s="9"/>
      <c r="H13" s="9"/>
      <c r="I13" s="9"/>
      <c r="J13" s="9"/>
    </row>
    <row r="14" spans="2:10" x14ac:dyDescent="0.45">
      <c r="C14" s="12" t="str">
        <f>INDEX('10'!$B$3:$B$8,MATCH(C4,'10'!$C$3:$C$8))</f>
        <v>XYZ006</v>
      </c>
    </row>
    <row r="15" spans="2:10" ht="30" customHeight="1" x14ac:dyDescent="0.45">
      <c r="B15" s="7" t="s">
        <v>33</v>
      </c>
      <c r="C15" s="9" t="s">
        <v>34</v>
      </c>
      <c r="D15" s="9"/>
      <c r="E15" s="9"/>
      <c r="F15" s="9"/>
      <c r="G15" s="9"/>
      <c r="H15" s="9"/>
      <c r="I15" s="9"/>
      <c r="J15" s="9"/>
    </row>
    <row r="16" spans="2:10" ht="24" customHeight="1" x14ac:dyDescent="0.45">
      <c r="B16" t="s">
        <v>32</v>
      </c>
      <c r="C16" s="9"/>
      <c r="D16" s="9"/>
      <c r="E16" s="9"/>
      <c r="F16" s="9"/>
      <c r="G16" s="9"/>
      <c r="H16" s="9"/>
      <c r="I16" s="9"/>
      <c r="J16" s="9"/>
    </row>
    <row r="17" spans="2:10" x14ac:dyDescent="0.45">
      <c r="C17" s="12" t="str">
        <f>INDEX('10'!$C$3:$C$8,MATCH('11 - INDEX MATCH'!B4,'10'!$B$3:$B$8))</f>
        <v>Phone</v>
      </c>
    </row>
    <row r="18" spans="2:10" ht="30" customHeight="1" x14ac:dyDescent="0.45">
      <c r="B18" s="7" t="s">
        <v>35</v>
      </c>
      <c r="C18" s="9" t="s">
        <v>36</v>
      </c>
      <c r="D18" s="9"/>
      <c r="E18" s="9"/>
      <c r="F18" s="9"/>
      <c r="G18" s="9"/>
      <c r="H18" s="9"/>
      <c r="I18" s="9"/>
      <c r="J18" s="9"/>
    </row>
    <row r="19" spans="2:10" ht="24" customHeight="1" x14ac:dyDescent="0.45">
      <c r="B19" t="s">
        <v>32</v>
      </c>
      <c r="C19" s="9"/>
      <c r="D19" s="9"/>
      <c r="E19" s="9"/>
      <c r="F19" s="9"/>
      <c r="G19" s="9"/>
      <c r="H19" s="9"/>
      <c r="I19" s="9"/>
      <c r="J19" s="9"/>
    </row>
    <row r="20" spans="2:10" x14ac:dyDescent="0.45">
      <c r="C20" s="12">
        <f>INDEX('10'!$D$3:$D$8,MATCH('11 - INDEX MATCH'!C5,'10'!$C$3:$C$8))</f>
        <v>350</v>
      </c>
    </row>
    <row r="21" spans="2:10" ht="30" customHeight="1" x14ac:dyDescent="0.45">
      <c r="B21" s="7" t="s">
        <v>37</v>
      </c>
      <c r="C21" s="9" t="s">
        <v>38</v>
      </c>
      <c r="D21" s="9"/>
      <c r="E21" s="9"/>
      <c r="F21" s="9"/>
      <c r="G21" s="9"/>
      <c r="H21" s="9"/>
      <c r="I21" s="9"/>
      <c r="J21" s="9"/>
    </row>
    <row r="22" spans="2:10" ht="24" customHeight="1" x14ac:dyDescent="0.45">
      <c r="B22" t="s">
        <v>32</v>
      </c>
      <c r="C22" s="9"/>
      <c r="D22" s="9"/>
      <c r="E22" s="9"/>
      <c r="F22" s="9"/>
      <c r="G22" s="9"/>
      <c r="H22" s="9"/>
      <c r="I22" s="9"/>
      <c r="J22" s="9"/>
    </row>
    <row r="24" spans="2:10" ht="30" customHeight="1" x14ac:dyDescent="0.45">
      <c r="B24" s="7" t="s">
        <v>39</v>
      </c>
      <c r="C24" s="9" t="s">
        <v>40</v>
      </c>
      <c r="D24" s="9"/>
      <c r="E24" s="9"/>
      <c r="F24" s="9"/>
      <c r="G24" s="9"/>
      <c r="H24" s="9"/>
      <c r="I24" s="9"/>
      <c r="J24" s="9"/>
    </row>
    <row r="25" spans="2:10" ht="24" customHeight="1" x14ac:dyDescent="0.45">
      <c r="B25" t="s">
        <v>32</v>
      </c>
      <c r="C25" s="9"/>
      <c r="D25" s="9"/>
      <c r="E25" s="9"/>
      <c r="F25" s="9"/>
      <c r="G25" s="9"/>
      <c r="H25" s="9"/>
      <c r="I25" s="9"/>
      <c r="J25" s="9"/>
    </row>
    <row r="27" spans="2:10" x14ac:dyDescent="0.45">
      <c r="B27" t="s">
        <v>41</v>
      </c>
      <c r="C27" s="9" t="s">
        <v>42</v>
      </c>
      <c r="D27" s="9"/>
      <c r="E27" s="9"/>
      <c r="F27" s="9"/>
      <c r="G27" s="9"/>
      <c r="H27" s="9"/>
      <c r="I27" s="9"/>
      <c r="J27" s="9"/>
    </row>
  </sheetData>
  <mergeCells count="12">
    <mergeCell ref="C27:J27"/>
    <mergeCell ref="C13:J13"/>
    <mergeCell ref="C19:J19"/>
    <mergeCell ref="C22:J22"/>
    <mergeCell ref="C18:J18"/>
    <mergeCell ref="C12:J12"/>
    <mergeCell ref="C21:J21"/>
    <mergeCell ref="B10:J10"/>
    <mergeCell ref="C15:J15"/>
    <mergeCell ref="C25:J25"/>
    <mergeCell ref="C24:J24"/>
    <mergeCell ref="C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11 - INDEX 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nehra</dc:creator>
  <cp:lastModifiedBy>Divya Nagaraj</cp:lastModifiedBy>
  <dcterms:created xsi:type="dcterms:W3CDTF">2024-03-19T13:00:22Z</dcterms:created>
  <dcterms:modified xsi:type="dcterms:W3CDTF">2026-09-25T01:36:18Z</dcterms:modified>
</cp:coreProperties>
</file>